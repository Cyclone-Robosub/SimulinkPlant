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yclone Robosub\SimulinkPlant\src\utils\T200 Thruster Lookups\"/>
    </mc:Choice>
  </mc:AlternateContent>
  <xr:revisionPtr revIDLastSave="0" documentId="13_ncr:1_{B0F92084-897C-4CD0-A593-4CA116A44AFA}" xr6:coauthVersionLast="47" xr6:coauthVersionMax="47" xr10:uidLastSave="{00000000-0000-0000-0000-000000000000}"/>
  <bookViews>
    <workbookView xWindow="-120" yWindow="-120" windowWidth="38640" windowHeight="21120" activeTab="7" xr2:uid="{5AEAB698-1AA4-4EDA-844D-63EC7D2D4722}"/>
  </bookViews>
  <sheets>
    <sheet name="READ ME FIRST" sheetId="7" r:id="rId1"/>
    <sheet name="10 V" sheetId="1" r:id="rId2"/>
    <sheet name="12 V" sheetId="2" r:id="rId3"/>
    <sheet name="14 V" sheetId="3" r:id="rId4"/>
    <sheet name="16 V" sheetId="4" r:id="rId5"/>
    <sheet name="18 V" sheetId="5" r:id="rId6"/>
    <sheet name="20 V" sheetId="6" r:id="rId7"/>
    <sheet name="Sheet1" sheetId="8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 a="1"/>
  <c r="M1" i="8"/>
  <c r="M2" i="8" a="1"/>
  <c r="M2" i="8"/>
  <c r="M3" i="8" a="1"/>
  <c r="M3" i="8"/>
  <c r="M4" i="8" a="1"/>
  <c r="M4" i="8"/>
  <c r="M5" i="8" a="1"/>
  <c r="M5" i="8"/>
  <c r="M6" i="8" a="1"/>
  <c r="M6" i="8"/>
  <c r="M7" i="8" a="1"/>
  <c r="M7" i="8"/>
  <c r="M8" i="8" a="1"/>
  <c r="M8" i="8"/>
  <c r="M9" i="8" a="1"/>
  <c r="M9" i="8"/>
  <c r="M10" i="8" a="1"/>
  <c r="M10" i="8"/>
  <c r="M11" i="8" a="1"/>
  <c r="M11" i="8"/>
  <c r="M12" i="8" a="1"/>
  <c r="M12" i="8"/>
  <c r="M13" i="8" a="1"/>
  <c r="M13" i="8"/>
  <c r="M14" i="8" a="1"/>
  <c r="M14" i="8"/>
  <c r="M15" i="8" a="1"/>
  <c r="M15" i="8"/>
  <c r="M16" i="8" a="1"/>
  <c r="M16" i="8"/>
  <c r="M17" i="8" a="1"/>
  <c r="M17" i="8"/>
  <c r="M18" i="8" a="1"/>
  <c r="M18" i="8"/>
  <c r="M19" i="8" a="1"/>
  <c r="M19" i="8"/>
  <c r="M20" i="8" a="1"/>
  <c r="M20" i="8"/>
  <c r="M21" i="8" a="1"/>
  <c r="M21" i="8"/>
  <c r="M22" i="8" a="1"/>
  <c r="M22" i="8"/>
  <c r="M23" i="8" a="1"/>
  <c r="M23" i="8"/>
  <c r="M24" i="8" a="1"/>
  <c r="M24" i="8"/>
  <c r="M25" i="8" a="1"/>
  <c r="M25" i="8"/>
  <c r="M26" i="8" a="1"/>
  <c r="M26" i="8"/>
  <c r="M27" i="8" a="1"/>
  <c r="M27" i="8"/>
  <c r="M28" i="8" a="1"/>
  <c r="M28" i="8"/>
  <c r="M29" i="8" a="1"/>
  <c r="M29" i="8"/>
  <c r="M30" i="8" a="1"/>
  <c r="M30" i="8"/>
  <c r="M31" i="8" a="1"/>
  <c r="M31" i="8"/>
  <c r="M32" i="8" a="1"/>
  <c r="M32" i="8"/>
  <c r="M33" i="8" a="1"/>
  <c r="M33" i="8"/>
  <c r="M34" i="8" a="1"/>
  <c r="M34" i="8"/>
  <c r="M35" i="8" a="1"/>
  <c r="M35" i="8"/>
  <c r="M36" i="8" a="1"/>
  <c r="M36" i="8"/>
  <c r="M37" i="8" a="1"/>
  <c r="M37" i="8"/>
  <c r="M38" i="8" a="1"/>
  <c r="M38" i="8"/>
  <c r="M39" i="8" a="1"/>
  <c r="M39" i="8"/>
  <c r="M40" i="8" a="1"/>
  <c r="M40" i="8"/>
  <c r="M41" i="8" a="1"/>
  <c r="M41" i="8"/>
  <c r="M42" i="8" a="1"/>
  <c r="M42" i="8"/>
  <c r="M43" i="8" a="1"/>
  <c r="M43" i="8"/>
  <c r="M44" i="8" a="1"/>
  <c r="M44" i="8"/>
  <c r="M45" i="8" a="1"/>
  <c r="M45" i="8"/>
  <c r="M46" i="8" a="1"/>
  <c r="M46" i="8"/>
  <c r="M47" i="8" a="1"/>
  <c r="M47" i="8"/>
  <c r="M48" i="8" a="1"/>
  <c r="M48" i="8"/>
  <c r="M49" i="8" a="1"/>
  <c r="M49" i="8"/>
  <c r="M50" i="8" a="1"/>
  <c r="M50" i="8"/>
  <c r="M51" i="8" a="1"/>
  <c r="M51" i="8"/>
  <c r="M52" i="8" a="1"/>
  <c r="M52" i="8"/>
  <c r="M53" i="8" a="1"/>
  <c r="M53" i="8"/>
  <c r="M54" i="8" a="1"/>
  <c r="M54" i="8"/>
  <c r="M55" i="8" a="1"/>
  <c r="M55" i="8"/>
  <c r="M56" i="8" a="1"/>
  <c r="M56" i="8"/>
  <c r="M57" i="8" a="1"/>
  <c r="M57" i="8"/>
  <c r="M58" i="8" a="1"/>
  <c r="M58" i="8"/>
  <c r="M59" i="8" a="1"/>
  <c r="M59" i="8"/>
  <c r="M60" i="8" a="1"/>
  <c r="M60" i="8"/>
  <c r="M61" i="8" a="1"/>
  <c r="M61" i="8"/>
  <c r="M62" i="8" a="1"/>
  <c r="M62" i="8"/>
  <c r="M63" i="8" a="1"/>
  <c r="M63" i="8"/>
  <c r="M64" i="8" a="1"/>
  <c r="M64" i="8"/>
  <c r="M65" i="8" a="1"/>
  <c r="M65" i="8"/>
  <c r="M66" i="8" a="1"/>
  <c r="M66" i="8"/>
  <c r="M67" i="8" a="1"/>
  <c r="M67" i="8"/>
  <c r="M68" i="8" a="1"/>
  <c r="M68" i="8"/>
  <c r="M69" i="8" a="1"/>
  <c r="M69" i="8"/>
  <c r="M70" i="8" a="1"/>
  <c r="M70" i="8"/>
  <c r="M71" i="8" a="1"/>
  <c r="M71" i="8"/>
  <c r="M72" i="8" a="1"/>
  <c r="M72" i="8"/>
  <c r="M73" i="8" a="1"/>
  <c r="M73" i="8"/>
  <c r="M74" i="8" a="1"/>
  <c r="M74" i="8"/>
  <c r="M75" i="8" a="1"/>
  <c r="M75" i="8"/>
  <c r="M76" i="8" a="1"/>
  <c r="M76" i="8"/>
  <c r="M77" i="8" a="1"/>
  <c r="M77" i="8"/>
  <c r="M78" i="8" a="1"/>
  <c r="M78" i="8"/>
  <c r="M79" i="8" a="1"/>
  <c r="M79" i="8"/>
  <c r="M80" i="8" a="1"/>
  <c r="M80" i="8"/>
  <c r="M81" i="8" a="1"/>
  <c r="M81" i="8"/>
  <c r="M82" i="8" a="1"/>
  <c r="M82" i="8"/>
  <c r="M83" i="8" a="1"/>
  <c r="M83" i="8"/>
  <c r="M84" i="8" a="1"/>
  <c r="M84" i="8"/>
  <c r="M85" i="8" a="1"/>
  <c r="M85" i="8"/>
  <c r="M86" i="8" a="1"/>
  <c r="M86" i="8"/>
  <c r="M87" i="8" a="1"/>
  <c r="M87" i="8"/>
  <c r="M88" i="8" a="1"/>
  <c r="M88" i="8"/>
  <c r="M89" i="8" a="1"/>
  <c r="M89" i="8"/>
  <c r="M90" i="8" a="1"/>
  <c r="M90" i="8"/>
  <c r="M91" i="8" a="1"/>
  <c r="M91" i="8"/>
  <c r="M92" i="8" a="1"/>
  <c r="M92" i="8"/>
  <c r="M93" i="8" a="1"/>
  <c r="M93" i="8"/>
  <c r="M94" i="8" a="1"/>
  <c r="M94" i="8"/>
  <c r="M95" i="8" a="1"/>
  <c r="M95" i="8"/>
  <c r="M96" i="8" a="1"/>
  <c r="M96" i="8"/>
  <c r="M97" i="8" a="1"/>
  <c r="M97" i="8"/>
  <c r="M98" i="8" a="1"/>
  <c r="M98" i="8"/>
  <c r="M99" i="8" a="1"/>
  <c r="M99" i="8"/>
  <c r="M100" i="8" a="1"/>
  <c r="M100" i="8"/>
  <c r="M101" i="8" a="1"/>
  <c r="M101" i="8"/>
  <c r="M102" i="8" a="1"/>
  <c r="M102" i="8"/>
  <c r="M103" i="8" a="1"/>
  <c r="M103" i="8"/>
  <c r="M104" i="8" a="1"/>
  <c r="M104" i="8"/>
  <c r="M105" i="8" a="1"/>
  <c r="M105" i="8"/>
  <c r="M106" i="8" a="1"/>
  <c r="M106" i="8"/>
  <c r="M107" i="8" a="1"/>
  <c r="M107" i="8"/>
  <c r="M108" i="8" a="1"/>
  <c r="M108" i="8"/>
  <c r="M109" i="8" a="1"/>
  <c r="M109" i="8"/>
  <c r="M110" i="8" a="1"/>
  <c r="M110" i="8"/>
  <c r="M111" i="8" a="1"/>
  <c r="M111" i="8"/>
  <c r="M112" i="8" a="1"/>
  <c r="M112" i="8"/>
  <c r="M113" i="8" a="1"/>
  <c r="M113" i="8"/>
  <c r="M114" i="8" a="1"/>
  <c r="M114" i="8"/>
  <c r="M115" i="8" a="1"/>
  <c r="M115" i="8"/>
  <c r="M116" i="8" a="1"/>
  <c r="M116" i="8"/>
  <c r="M117" i="8" a="1"/>
  <c r="M117" i="8"/>
  <c r="M118" i="8" a="1"/>
  <c r="M118" i="8"/>
  <c r="M119" i="8" a="1"/>
  <c r="M119" i="8"/>
  <c r="M120" i="8" a="1"/>
  <c r="M120" i="8"/>
  <c r="M121" i="8" a="1"/>
  <c r="M121" i="8"/>
  <c r="M122" i="8" a="1"/>
  <c r="M122" i="8"/>
  <c r="M123" i="8" a="1"/>
  <c r="M123" i="8"/>
  <c r="M124" i="8" a="1"/>
  <c r="M124" i="8"/>
  <c r="M125" i="8" a="1"/>
  <c r="M125" i="8"/>
  <c r="M126" i="8" a="1"/>
  <c r="M126" i="8"/>
  <c r="M127" i="8" a="1"/>
  <c r="M127" i="8"/>
  <c r="M128" i="8" a="1"/>
  <c r="M128" i="8"/>
  <c r="M129" i="8" a="1"/>
  <c r="M129" i="8"/>
  <c r="M130" i="8" a="1"/>
  <c r="M130" i="8"/>
  <c r="M131" i="8" a="1"/>
  <c r="M131" i="8"/>
  <c r="M132" i="8" a="1"/>
  <c r="M132" i="8"/>
  <c r="M133" i="8" a="1"/>
  <c r="M133" i="8"/>
  <c r="M134" i="8" a="1"/>
  <c r="M134" i="8"/>
  <c r="M135" i="8" a="1"/>
  <c r="M135" i="8"/>
  <c r="M136" i="8" a="1"/>
  <c r="M136" i="8"/>
  <c r="M137" i="8" a="1"/>
  <c r="M137" i="8"/>
  <c r="M138" i="8" a="1"/>
  <c r="M138" i="8"/>
  <c r="M139" i="8" a="1"/>
  <c r="M139" i="8"/>
  <c r="M140" i="8" a="1"/>
  <c r="M140" i="8"/>
  <c r="M141" i="8" a="1"/>
  <c r="M141" i="8"/>
  <c r="M142" i="8" a="1"/>
  <c r="M142" i="8"/>
  <c r="M143" i="8" a="1"/>
  <c r="M143" i="8"/>
  <c r="M144" i="8" a="1"/>
  <c r="M144" i="8"/>
  <c r="M145" i="8" a="1"/>
  <c r="M145" i="8"/>
  <c r="M146" i="8" a="1"/>
  <c r="M146" i="8"/>
  <c r="M147" i="8" a="1"/>
  <c r="M147" i="8"/>
  <c r="M148" i="8" a="1"/>
  <c r="M148" i="8"/>
  <c r="M149" i="8" a="1"/>
  <c r="M149" i="8"/>
  <c r="M150" i="8" a="1"/>
  <c r="M150" i="8"/>
  <c r="M151" i="8" a="1"/>
  <c r="M151" i="8"/>
  <c r="M152" i="8" a="1"/>
  <c r="M152" i="8"/>
  <c r="M153" i="8" a="1"/>
  <c r="M153" i="8"/>
  <c r="M154" i="8" a="1"/>
  <c r="M154" i="8"/>
  <c r="M155" i="8" a="1"/>
  <c r="M155" i="8"/>
  <c r="M156" i="8" a="1"/>
  <c r="M156" i="8"/>
  <c r="M157" i="8" a="1"/>
  <c r="M157" i="8"/>
  <c r="M158" i="8" a="1"/>
  <c r="M158" i="8"/>
  <c r="M159" i="8" a="1"/>
  <c r="M159" i="8"/>
  <c r="M160" i="8" a="1"/>
  <c r="M160" i="8"/>
  <c r="M161" i="8" a="1"/>
  <c r="M161" i="8"/>
  <c r="M162" i="8" a="1"/>
  <c r="M162" i="8"/>
  <c r="M163" i="8" a="1"/>
  <c r="M163" i="8"/>
  <c r="M164" i="8" a="1"/>
  <c r="M164" i="8"/>
  <c r="M165" i="8" a="1"/>
  <c r="M165" i="8"/>
  <c r="M166" i="8" a="1"/>
  <c r="M166" i="8"/>
  <c r="M167" i="8" a="1"/>
  <c r="M167" i="8"/>
  <c r="M168" i="8" a="1"/>
  <c r="M168" i="8"/>
  <c r="M169" i="8" a="1"/>
  <c r="M169" i="8"/>
  <c r="M170" i="8" a="1"/>
  <c r="M170" i="8"/>
  <c r="M171" i="8" a="1"/>
  <c r="M171" i="8"/>
  <c r="M172" i="8" a="1"/>
  <c r="M172" i="8"/>
  <c r="M173" i="8" a="1"/>
  <c r="M173" i="8"/>
  <c r="M174" i="8" a="1"/>
  <c r="M174" i="8"/>
  <c r="M175" i="8" a="1"/>
  <c r="M175" i="8"/>
  <c r="M176" i="8" a="1"/>
  <c r="M176" i="8"/>
  <c r="M177" i="8" a="1"/>
  <c r="M177" i="8"/>
  <c r="M178" i="8" a="1"/>
  <c r="M178" i="8"/>
  <c r="M179" i="8" a="1"/>
  <c r="M179" i="8"/>
  <c r="M180" i="8" a="1"/>
  <c r="M180" i="8"/>
  <c r="M181" i="8" a="1"/>
  <c r="M181" i="8"/>
  <c r="M182" i="8" a="1"/>
  <c r="M182" i="8"/>
  <c r="M183" i="8" a="1"/>
  <c r="M183" i="8"/>
  <c r="M184" i="8" a="1"/>
  <c r="M184" i="8"/>
  <c r="M185" i="8" a="1"/>
  <c r="M185" i="8"/>
  <c r="M186" i="8" a="1"/>
  <c r="M186" i="8"/>
  <c r="M187" i="8" a="1"/>
  <c r="M187" i="8"/>
  <c r="M188" i="8" a="1"/>
  <c r="M188" i="8"/>
  <c r="M189" i="8" a="1"/>
  <c r="M189" i="8"/>
  <c r="M190" i="8" a="1"/>
  <c r="M190" i="8"/>
  <c r="M191" i="8" a="1"/>
  <c r="M191" i="8"/>
  <c r="M192" i="8" a="1"/>
  <c r="M192" i="8"/>
  <c r="M193" i="8" a="1"/>
  <c r="M193" i="8"/>
  <c r="M194" i="8" a="1"/>
  <c r="M194" i="8"/>
  <c r="M195" i="8" a="1"/>
  <c r="M195" i="8"/>
  <c r="M196" i="8" a="1"/>
  <c r="M196" i="8"/>
  <c r="M197" i="8" a="1"/>
  <c r="M197" i="8"/>
  <c r="M198" i="8" a="1"/>
  <c r="M198" i="8"/>
  <c r="M199" i="8" a="1"/>
  <c r="M199" i="8"/>
  <c r="M200" i="8" a="1"/>
  <c r="M200" i="8"/>
  <c r="M201" i="8" a="1"/>
  <c r="M201" i="8"/>
  <c r="K1" i="8" a="1"/>
  <c r="K1" i="8"/>
  <c r="L1" i="8" a="1"/>
  <c r="L1" i="8"/>
  <c r="K2" i="8" a="1"/>
  <c r="K2" i="8"/>
  <c r="L2" i="8" a="1"/>
  <c r="L2" i="8"/>
  <c r="K3" i="8" a="1"/>
  <c r="K3" i="8"/>
  <c r="L3" i="8" a="1"/>
  <c r="L3" i="8"/>
  <c r="K4" i="8" a="1"/>
  <c r="K4" i="8"/>
  <c r="L4" i="8" a="1"/>
  <c r="L4" i="8"/>
  <c r="K5" i="8" a="1"/>
  <c r="K5" i="8"/>
  <c r="L5" i="8" a="1"/>
  <c r="L5" i="8"/>
  <c r="K6" i="8" a="1"/>
  <c r="K6" i="8"/>
  <c r="L6" i="8" a="1"/>
  <c r="L6" i="8"/>
  <c r="K7" i="8" a="1"/>
  <c r="K7" i="8"/>
  <c r="L7" i="8" a="1"/>
  <c r="L7" i="8"/>
  <c r="K8" i="8" a="1"/>
  <c r="K8" i="8"/>
  <c r="L8" i="8" a="1"/>
  <c r="L8" i="8"/>
  <c r="K9" i="8" a="1"/>
  <c r="K9" i="8"/>
  <c r="L9" i="8" a="1"/>
  <c r="L9" i="8"/>
  <c r="K10" i="8" a="1"/>
  <c r="K10" i="8"/>
  <c r="L10" i="8" a="1"/>
  <c r="L10" i="8"/>
  <c r="K11" i="8" a="1"/>
  <c r="K11" i="8"/>
  <c r="L11" i="8" a="1"/>
  <c r="L11" i="8"/>
  <c r="K12" i="8" a="1"/>
  <c r="K12" i="8"/>
  <c r="L12" i="8" a="1"/>
  <c r="L12" i="8"/>
  <c r="K13" i="8" a="1"/>
  <c r="K13" i="8"/>
  <c r="L13" i="8" a="1"/>
  <c r="L13" i="8"/>
  <c r="K14" i="8" a="1"/>
  <c r="K14" i="8"/>
  <c r="L14" i="8" a="1"/>
  <c r="L14" i="8"/>
  <c r="K15" i="8" a="1"/>
  <c r="K15" i="8"/>
  <c r="L15" i="8" a="1"/>
  <c r="L15" i="8"/>
  <c r="K16" i="8" a="1"/>
  <c r="K16" i="8"/>
  <c r="L16" i="8" a="1"/>
  <c r="L16" i="8"/>
  <c r="K17" i="8" a="1"/>
  <c r="K17" i="8"/>
  <c r="L17" i="8" a="1"/>
  <c r="L17" i="8"/>
  <c r="K18" i="8" a="1"/>
  <c r="K18" i="8"/>
  <c r="L18" i="8" a="1"/>
  <c r="L18" i="8"/>
  <c r="K19" i="8" a="1"/>
  <c r="K19" i="8"/>
  <c r="L19" i="8" a="1"/>
  <c r="L19" i="8"/>
  <c r="K20" i="8" a="1"/>
  <c r="K20" i="8"/>
  <c r="L20" i="8" a="1"/>
  <c r="L20" i="8"/>
  <c r="K21" i="8" a="1"/>
  <c r="K21" i="8"/>
  <c r="L21" i="8" a="1"/>
  <c r="L21" i="8"/>
  <c r="K22" i="8" a="1"/>
  <c r="K22" i="8"/>
  <c r="L22" i="8" a="1"/>
  <c r="L22" i="8"/>
  <c r="K23" i="8" a="1"/>
  <c r="K23" i="8"/>
  <c r="L23" i="8" a="1"/>
  <c r="L23" i="8"/>
  <c r="K24" i="8" a="1"/>
  <c r="K24" i="8"/>
  <c r="L24" i="8" a="1"/>
  <c r="L24" i="8"/>
  <c r="K25" i="8" a="1"/>
  <c r="K25" i="8"/>
  <c r="L25" i="8" a="1"/>
  <c r="L25" i="8"/>
  <c r="K26" i="8" a="1"/>
  <c r="K26" i="8"/>
  <c r="L26" i="8" a="1"/>
  <c r="L26" i="8"/>
  <c r="K27" i="8" a="1"/>
  <c r="K27" i="8"/>
  <c r="L27" i="8" a="1"/>
  <c r="L27" i="8"/>
  <c r="K28" i="8" a="1"/>
  <c r="K28" i="8"/>
  <c r="L28" i="8" a="1"/>
  <c r="L28" i="8"/>
  <c r="K29" i="8" a="1"/>
  <c r="K29" i="8"/>
  <c r="L29" i="8" a="1"/>
  <c r="L29" i="8"/>
  <c r="K30" i="8" a="1"/>
  <c r="K30" i="8"/>
  <c r="L30" i="8" a="1"/>
  <c r="L30" i="8"/>
  <c r="K31" i="8" a="1"/>
  <c r="K31" i="8"/>
  <c r="L31" i="8" a="1"/>
  <c r="L31" i="8"/>
  <c r="K32" i="8" a="1"/>
  <c r="K32" i="8"/>
  <c r="L32" i="8" a="1"/>
  <c r="L32" i="8"/>
  <c r="K33" i="8" a="1"/>
  <c r="K33" i="8"/>
  <c r="L33" i="8" a="1"/>
  <c r="L33" i="8"/>
  <c r="K34" i="8" a="1"/>
  <c r="K34" i="8"/>
  <c r="L34" i="8" a="1"/>
  <c r="L34" i="8"/>
  <c r="K35" i="8" a="1"/>
  <c r="K35" i="8"/>
  <c r="L35" i="8" a="1"/>
  <c r="L35" i="8"/>
  <c r="K36" i="8" a="1"/>
  <c r="K36" i="8"/>
  <c r="L36" i="8" a="1"/>
  <c r="L36" i="8"/>
  <c r="K37" i="8" a="1"/>
  <c r="K37" i="8"/>
  <c r="L37" i="8" a="1"/>
  <c r="L37" i="8"/>
  <c r="K38" i="8" a="1"/>
  <c r="K38" i="8"/>
  <c r="L38" i="8" a="1"/>
  <c r="L38" i="8"/>
  <c r="K39" i="8" a="1"/>
  <c r="K39" i="8"/>
  <c r="L39" i="8" a="1"/>
  <c r="L39" i="8"/>
  <c r="K40" i="8" a="1"/>
  <c r="K40" i="8"/>
  <c r="L40" i="8" a="1"/>
  <c r="L40" i="8"/>
  <c r="K41" i="8" a="1"/>
  <c r="K41" i="8"/>
  <c r="L41" i="8" a="1"/>
  <c r="L41" i="8"/>
  <c r="K42" i="8" a="1"/>
  <c r="K42" i="8"/>
  <c r="L42" i="8" a="1"/>
  <c r="L42" i="8"/>
  <c r="K43" i="8" a="1"/>
  <c r="K43" i="8"/>
  <c r="L43" i="8" a="1"/>
  <c r="L43" i="8"/>
  <c r="K44" i="8" a="1"/>
  <c r="K44" i="8"/>
  <c r="L44" i="8" a="1"/>
  <c r="L44" i="8"/>
  <c r="K45" i="8" a="1"/>
  <c r="K45" i="8"/>
  <c r="L45" i="8" a="1"/>
  <c r="L45" i="8"/>
  <c r="K46" i="8" a="1"/>
  <c r="K46" i="8"/>
  <c r="L46" i="8" a="1"/>
  <c r="L46" i="8"/>
  <c r="K47" i="8" a="1"/>
  <c r="K47" i="8"/>
  <c r="L47" i="8" a="1"/>
  <c r="L47" i="8"/>
  <c r="K48" i="8" a="1"/>
  <c r="K48" i="8"/>
  <c r="L48" i="8" a="1"/>
  <c r="L48" i="8"/>
  <c r="K49" i="8" a="1"/>
  <c r="K49" i="8"/>
  <c r="L49" i="8" a="1"/>
  <c r="L49" i="8"/>
  <c r="K50" i="8" a="1"/>
  <c r="K50" i="8"/>
  <c r="L50" i="8" a="1"/>
  <c r="L50" i="8"/>
  <c r="K51" i="8" a="1"/>
  <c r="K51" i="8"/>
  <c r="L51" i="8" a="1"/>
  <c r="L51" i="8"/>
  <c r="K52" i="8" a="1"/>
  <c r="K52" i="8"/>
  <c r="L52" i="8" a="1"/>
  <c r="L52" i="8"/>
  <c r="K53" i="8" a="1"/>
  <c r="K53" i="8"/>
  <c r="L53" i="8" a="1"/>
  <c r="L53" i="8"/>
  <c r="K54" i="8" a="1"/>
  <c r="K54" i="8"/>
  <c r="L54" i="8" a="1"/>
  <c r="L54" i="8"/>
  <c r="K55" i="8" a="1"/>
  <c r="K55" i="8"/>
  <c r="L55" i="8" a="1"/>
  <c r="L55" i="8"/>
  <c r="K56" i="8" a="1"/>
  <c r="K56" i="8"/>
  <c r="L56" i="8" a="1"/>
  <c r="L56" i="8"/>
  <c r="K57" i="8" a="1"/>
  <c r="K57" i="8"/>
  <c r="L57" i="8" a="1"/>
  <c r="L57" i="8"/>
  <c r="K58" i="8" a="1"/>
  <c r="K58" i="8"/>
  <c r="L58" i="8" a="1"/>
  <c r="L58" i="8"/>
  <c r="K59" i="8" a="1"/>
  <c r="K59" i="8"/>
  <c r="L59" i="8" a="1"/>
  <c r="L59" i="8"/>
  <c r="K60" i="8" a="1"/>
  <c r="K60" i="8"/>
  <c r="L60" i="8" a="1"/>
  <c r="L60" i="8"/>
  <c r="K61" i="8" a="1"/>
  <c r="K61" i="8"/>
  <c r="L61" i="8" a="1"/>
  <c r="L61" i="8"/>
  <c r="K62" i="8" a="1"/>
  <c r="K62" i="8"/>
  <c r="L62" i="8" a="1"/>
  <c r="L62" i="8"/>
  <c r="K63" i="8" a="1"/>
  <c r="K63" i="8"/>
  <c r="L63" i="8" a="1"/>
  <c r="L63" i="8"/>
  <c r="K64" i="8" a="1"/>
  <c r="K64" i="8"/>
  <c r="L64" i="8" a="1"/>
  <c r="L64" i="8"/>
  <c r="K65" i="8" a="1"/>
  <c r="K65" i="8"/>
  <c r="L65" i="8" a="1"/>
  <c r="L65" i="8"/>
  <c r="K66" i="8" a="1"/>
  <c r="K66" i="8"/>
  <c r="L66" i="8" a="1"/>
  <c r="L66" i="8"/>
  <c r="K67" i="8" a="1"/>
  <c r="K67" i="8"/>
  <c r="L67" i="8" a="1"/>
  <c r="L67" i="8"/>
  <c r="K68" i="8" a="1"/>
  <c r="K68" i="8"/>
  <c r="L68" i="8" a="1"/>
  <c r="L68" i="8"/>
  <c r="K69" i="8" a="1"/>
  <c r="K69" i="8"/>
  <c r="L69" i="8" a="1"/>
  <c r="L69" i="8"/>
  <c r="K70" i="8" a="1"/>
  <c r="K70" i="8"/>
  <c r="L70" i="8" a="1"/>
  <c r="L70" i="8"/>
  <c r="K71" i="8" a="1"/>
  <c r="K71" i="8"/>
  <c r="L71" i="8" a="1"/>
  <c r="L71" i="8"/>
  <c r="K72" i="8" a="1"/>
  <c r="K72" i="8"/>
  <c r="L72" i="8" a="1"/>
  <c r="L72" i="8"/>
  <c r="K73" i="8" a="1"/>
  <c r="K73" i="8"/>
  <c r="L73" i="8" a="1"/>
  <c r="L73" i="8"/>
  <c r="K74" i="8" a="1"/>
  <c r="K74" i="8"/>
  <c r="L74" i="8" a="1"/>
  <c r="L74" i="8"/>
  <c r="K75" i="8" a="1"/>
  <c r="K75" i="8"/>
  <c r="L75" i="8" a="1"/>
  <c r="L75" i="8"/>
  <c r="K76" i="8" a="1"/>
  <c r="K76" i="8"/>
  <c r="L76" i="8" a="1"/>
  <c r="L76" i="8"/>
  <c r="K77" i="8" a="1"/>
  <c r="K77" i="8"/>
  <c r="L77" i="8" a="1"/>
  <c r="L77" i="8"/>
  <c r="K78" i="8" a="1"/>
  <c r="K78" i="8"/>
  <c r="L78" i="8" a="1"/>
  <c r="L78" i="8"/>
  <c r="K79" i="8" a="1"/>
  <c r="K79" i="8"/>
  <c r="L79" i="8" a="1"/>
  <c r="L79" i="8"/>
  <c r="K80" i="8" a="1"/>
  <c r="K80" i="8"/>
  <c r="L80" i="8" a="1"/>
  <c r="L80" i="8"/>
  <c r="K81" i="8" a="1"/>
  <c r="K81" i="8"/>
  <c r="L81" i="8" a="1"/>
  <c r="L81" i="8"/>
  <c r="K82" i="8" a="1"/>
  <c r="K82" i="8"/>
  <c r="L82" i="8" a="1"/>
  <c r="L82" i="8"/>
  <c r="K83" i="8" a="1"/>
  <c r="K83" i="8"/>
  <c r="L83" i="8" a="1"/>
  <c r="L83" i="8"/>
  <c r="K84" i="8" a="1"/>
  <c r="K84" i="8"/>
  <c r="L84" i="8" a="1"/>
  <c r="L84" i="8"/>
  <c r="K85" i="8" a="1"/>
  <c r="K85" i="8"/>
  <c r="L85" i="8" a="1"/>
  <c r="L85" i="8"/>
  <c r="K86" i="8" a="1"/>
  <c r="K86" i="8"/>
  <c r="L86" i="8" a="1"/>
  <c r="L86" i="8"/>
  <c r="K87" i="8" a="1"/>
  <c r="K87" i="8"/>
  <c r="L87" i="8" a="1"/>
  <c r="L87" i="8"/>
  <c r="K88" i="8" a="1"/>
  <c r="K88" i="8"/>
  <c r="L88" i="8" a="1"/>
  <c r="L88" i="8"/>
  <c r="K89" i="8" a="1"/>
  <c r="K89" i="8"/>
  <c r="L89" i="8" a="1"/>
  <c r="L89" i="8"/>
  <c r="K90" i="8" a="1"/>
  <c r="K90" i="8"/>
  <c r="L90" i="8" a="1"/>
  <c r="L90" i="8"/>
  <c r="K91" i="8" a="1"/>
  <c r="K91" i="8"/>
  <c r="L91" i="8" a="1"/>
  <c r="L91" i="8"/>
  <c r="K92" i="8" a="1"/>
  <c r="K92" i="8"/>
  <c r="L92" i="8" a="1"/>
  <c r="L92" i="8"/>
  <c r="K93" i="8" a="1"/>
  <c r="K93" i="8"/>
  <c r="L93" i="8" a="1"/>
  <c r="L93" i="8"/>
  <c r="K94" i="8" a="1"/>
  <c r="K94" i="8"/>
  <c r="L94" i="8" a="1"/>
  <c r="L94" i="8"/>
  <c r="K95" i="8" a="1"/>
  <c r="K95" i="8"/>
  <c r="L95" i="8" a="1"/>
  <c r="L95" i="8"/>
  <c r="K96" i="8" a="1"/>
  <c r="K96" i="8"/>
  <c r="L96" i="8" a="1"/>
  <c r="L96" i="8"/>
  <c r="K97" i="8" a="1"/>
  <c r="K97" i="8"/>
  <c r="L97" i="8" a="1"/>
  <c r="L97" i="8"/>
  <c r="K98" i="8" a="1"/>
  <c r="K98" i="8"/>
  <c r="L98" i="8" a="1"/>
  <c r="L98" i="8"/>
  <c r="K99" i="8" a="1"/>
  <c r="K99" i="8"/>
  <c r="L99" i="8" a="1"/>
  <c r="L99" i="8"/>
  <c r="K100" i="8" a="1"/>
  <c r="K100" i="8"/>
  <c r="L100" i="8" a="1"/>
  <c r="L100" i="8"/>
  <c r="K101" i="8" a="1"/>
  <c r="K101" i="8"/>
  <c r="L101" i="8" a="1"/>
  <c r="L101" i="8"/>
  <c r="K102" i="8" a="1"/>
  <c r="K102" i="8"/>
  <c r="L102" i="8" a="1"/>
  <c r="L102" i="8"/>
  <c r="K103" i="8" a="1"/>
  <c r="K103" i="8"/>
  <c r="L103" i="8" a="1"/>
  <c r="L103" i="8"/>
  <c r="K104" i="8" a="1"/>
  <c r="K104" i="8"/>
  <c r="L104" i="8" a="1"/>
  <c r="L104" i="8"/>
  <c r="K105" i="8" a="1"/>
  <c r="K105" i="8"/>
  <c r="L105" i="8" a="1"/>
  <c r="L105" i="8"/>
  <c r="K106" i="8" a="1"/>
  <c r="K106" i="8"/>
  <c r="L106" i="8" a="1"/>
  <c r="L106" i="8"/>
  <c r="K107" i="8" a="1"/>
  <c r="K107" i="8"/>
  <c r="L107" i="8" a="1"/>
  <c r="L107" i="8"/>
  <c r="K108" i="8" a="1"/>
  <c r="K108" i="8"/>
  <c r="L108" i="8" a="1"/>
  <c r="L108" i="8"/>
  <c r="K109" i="8" a="1"/>
  <c r="K109" i="8"/>
  <c r="L109" i="8" a="1"/>
  <c r="L109" i="8"/>
  <c r="K110" i="8" a="1"/>
  <c r="K110" i="8"/>
  <c r="L110" i="8" a="1"/>
  <c r="L110" i="8"/>
  <c r="K111" i="8" a="1"/>
  <c r="K111" i="8"/>
  <c r="L111" i="8" a="1"/>
  <c r="L111" i="8"/>
  <c r="K112" i="8" a="1"/>
  <c r="K112" i="8"/>
  <c r="L112" i="8" a="1"/>
  <c r="L112" i="8"/>
  <c r="K113" i="8" a="1"/>
  <c r="K113" i="8"/>
  <c r="L113" i="8" a="1"/>
  <c r="L113" i="8"/>
  <c r="K114" i="8" a="1"/>
  <c r="K114" i="8"/>
  <c r="L114" i="8" a="1"/>
  <c r="L114" i="8"/>
  <c r="K115" i="8" a="1"/>
  <c r="K115" i="8"/>
  <c r="L115" i="8" a="1"/>
  <c r="L115" i="8"/>
  <c r="K116" i="8" a="1"/>
  <c r="K116" i="8"/>
  <c r="L116" i="8" a="1"/>
  <c r="L116" i="8"/>
  <c r="K117" i="8" a="1"/>
  <c r="K117" i="8"/>
  <c r="L117" i="8" a="1"/>
  <c r="L117" i="8"/>
  <c r="K118" i="8" a="1"/>
  <c r="K118" i="8"/>
  <c r="L118" i="8" a="1"/>
  <c r="L118" i="8"/>
  <c r="K119" i="8" a="1"/>
  <c r="K119" i="8"/>
  <c r="L119" i="8" a="1"/>
  <c r="L119" i="8"/>
  <c r="K120" i="8" a="1"/>
  <c r="K120" i="8"/>
  <c r="L120" i="8" a="1"/>
  <c r="L120" i="8"/>
  <c r="K121" i="8" a="1"/>
  <c r="K121" i="8"/>
  <c r="L121" i="8" a="1"/>
  <c r="L121" i="8"/>
  <c r="K122" i="8" a="1"/>
  <c r="K122" i="8"/>
  <c r="L122" i="8" a="1"/>
  <c r="L122" i="8"/>
  <c r="K123" i="8" a="1"/>
  <c r="K123" i="8"/>
  <c r="L123" i="8" a="1"/>
  <c r="L123" i="8"/>
  <c r="K124" i="8" a="1"/>
  <c r="K124" i="8"/>
  <c r="L124" i="8" a="1"/>
  <c r="L124" i="8"/>
  <c r="K125" i="8" a="1"/>
  <c r="K125" i="8"/>
  <c r="L125" i="8" a="1"/>
  <c r="L125" i="8"/>
  <c r="K126" i="8" a="1"/>
  <c r="K126" i="8"/>
  <c r="L126" i="8" a="1"/>
  <c r="L126" i="8"/>
  <c r="K127" i="8" a="1"/>
  <c r="K127" i="8"/>
  <c r="L127" i="8" a="1"/>
  <c r="L127" i="8"/>
  <c r="K128" i="8" a="1"/>
  <c r="K128" i="8"/>
  <c r="L128" i="8" a="1"/>
  <c r="L128" i="8"/>
  <c r="K129" i="8" a="1"/>
  <c r="K129" i="8"/>
  <c r="L129" i="8" a="1"/>
  <c r="L129" i="8"/>
  <c r="K130" i="8" a="1"/>
  <c r="K130" i="8"/>
  <c r="L130" i="8" a="1"/>
  <c r="L130" i="8"/>
  <c r="K131" i="8" a="1"/>
  <c r="K131" i="8"/>
  <c r="L131" i="8" a="1"/>
  <c r="L131" i="8"/>
  <c r="K132" i="8" a="1"/>
  <c r="K132" i="8"/>
  <c r="L132" i="8" a="1"/>
  <c r="L132" i="8"/>
  <c r="K133" i="8" a="1"/>
  <c r="K133" i="8"/>
  <c r="L133" i="8" a="1"/>
  <c r="L133" i="8"/>
  <c r="K134" i="8" a="1"/>
  <c r="K134" i="8"/>
  <c r="L134" i="8" a="1"/>
  <c r="L134" i="8"/>
  <c r="K135" i="8" a="1"/>
  <c r="K135" i="8"/>
  <c r="L135" i="8" a="1"/>
  <c r="L135" i="8"/>
  <c r="K136" i="8" a="1"/>
  <c r="K136" i="8"/>
  <c r="L136" i="8" a="1"/>
  <c r="L136" i="8"/>
  <c r="K137" i="8" a="1"/>
  <c r="K137" i="8"/>
  <c r="L137" i="8" a="1"/>
  <c r="L137" i="8"/>
  <c r="K138" i="8" a="1"/>
  <c r="K138" i="8"/>
  <c r="L138" i="8" a="1"/>
  <c r="L138" i="8"/>
  <c r="K139" i="8" a="1"/>
  <c r="K139" i="8"/>
  <c r="L139" i="8" a="1"/>
  <c r="L139" i="8"/>
  <c r="K140" i="8" a="1"/>
  <c r="K140" i="8"/>
  <c r="L140" i="8" a="1"/>
  <c r="L140" i="8"/>
  <c r="K141" i="8" a="1"/>
  <c r="K141" i="8"/>
  <c r="L141" i="8" a="1"/>
  <c r="L141" i="8"/>
  <c r="K142" i="8" a="1"/>
  <c r="K142" i="8"/>
  <c r="L142" i="8" a="1"/>
  <c r="L142" i="8"/>
  <c r="K143" i="8" a="1"/>
  <c r="K143" i="8"/>
  <c r="L143" i="8" a="1"/>
  <c r="L143" i="8"/>
  <c r="K144" i="8" a="1"/>
  <c r="K144" i="8"/>
  <c r="L144" i="8" a="1"/>
  <c r="L144" i="8"/>
  <c r="K145" i="8" a="1"/>
  <c r="K145" i="8"/>
  <c r="L145" i="8" a="1"/>
  <c r="L145" i="8"/>
  <c r="K146" i="8" a="1"/>
  <c r="K146" i="8"/>
  <c r="L146" i="8" a="1"/>
  <c r="L146" i="8"/>
  <c r="K147" i="8" a="1"/>
  <c r="K147" i="8"/>
  <c r="L147" i="8" a="1"/>
  <c r="L147" i="8"/>
  <c r="K148" i="8" a="1"/>
  <c r="K148" i="8"/>
  <c r="L148" i="8" a="1"/>
  <c r="L148" i="8"/>
  <c r="K149" i="8" a="1"/>
  <c r="K149" i="8"/>
  <c r="L149" i="8" a="1"/>
  <c r="L149" i="8"/>
  <c r="K150" i="8" a="1"/>
  <c r="K150" i="8"/>
  <c r="L150" i="8" a="1"/>
  <c r="L150" i="8"/>
  <c r="K151" i="8" a="1"/>
  <c r="K151" i="8"/>
  <c r="L151" i="8" a="1"/>
  <c r="L151" i="8"/>
  <c r="K152" i="8" a="1"/>
  <c r="K152" i="8"/>
  <c r="L152" i="8" a="1"/>
  <c r="L152" i="8"/>
  <c r="K153" i="8" a="1"/>
  <c r="K153" i="8"/>
  <c r="L153" i="8" a="1"/>
  <c r="L153" i="8"/>
  <c r="K154" i="8" a="1"/>
  <c r="K154" i="8"/>
  <c r="L154" i="8" a="1"/>
  <c r="L154" i="8"/>
  <c r="K155" i="8" a="1"/>
  <c r="K155" i="8"/>
  <c r="L155" i="8" a="1"/>
  <c r="L155" i="8"/>
  <c r="K156" i="8" a="1"/>
  <c r="K156" i="8"/>
  <c r="L156" i="8" a="1"/>
  <c r="L156" i="8"/>
  <c r="K157" i="8" a="1"/>
  <c r="K157" i="8"/>
  <c r="L157" i="8" a="1"/>
  <c r="L157" i="8"/>
  <c r="K158" i="8" a="1"/>
  <c r="K158" i="8"/>
  <c r="L158" i="8" a="1"/>
  <c r="L158" i="8"/>
  <c r="K159" i="8" a="1"/>
  <c r="K159" i="8"/>
  <c r="L159" i="8" a="1"/>
  <c r="L159" i="8"/>
  <c r="K160" i="8" a="1"/>
  <c r="K160" i="8"/>
  <c r="L160" i="8" a="1"/>
  <c r="L160" i="8"/>
  <c r="K161" i="8" a="1"/>
  <c r="K161" i="8"/>
  <c r="L161" i="8" a="1"/>
  <c r="L161" i="8"/>
  <c r="K162" i="8" a="1"/>
  <c r="K162" i="8"/>
  <c r="L162" i="8" a="1"/>
  <c r="L162" i="8"/>
  <c r="K163" i="8" a="1"/>
  <c r="K163" i="8"/>
  <c r="L163" i="8" a="1"/>
  <c r="L163" i="8"/>
  <c r="K164" i="8" a="1"/>
  <c r="K164" i="8"/>
  <c r="L164" i="8" a="1"/>
  <c r="L164" i="8"/>
  <c r="K165" i="8" a="1"/>
  <c r="K165" i="8"/>
  <c r="L165" i="8" a="1"/>
  <c r="L165" i="8"/>
  <c r="K166" i="8" a="1"/>
  <c r="K166" i="8"/>
  <c r="L166" i="8" a="1"/>
  <c r="L166" i="8"/>
  <c r="K167" i="8" a="1"/>
  <c r="K167" i="8"/>
  <c r="L167" i="8" a="1"/>
  <c r="L167" i="8"/>
  <c r="K168" i="8" a="1"/>
  <c r="K168" i="8"/>
  <c r="L168" i="8" a="1"/>
  <c r="L168" i="8"/>
  <c r="K169" i="8" a="1"/>
  <c r="K169" i="8"/>
  <c r="L169" i="8" a="1"/>
  <c r="L169" i="8"/>
  <c r="K170" i="8" a="1"/>
  <c r="K170" i="8"/>
  <c r="L170" i="8" a="1"/>
  <c r="L170" i="8"/>
  <c r="K171" i="8" a="1"/>
  <c r="K171" i="8"/>
  <c r="L171" i="8" a="1"/>
  <c r="L171" i="8"/>
  <c r="K172" i="8" a="1"/>
  <c r="K172" i="8"/>
  <c r="L172" i="8" a="1"/>
  <c r="L172" i="8"/>
  <c r="K173" i="8" a="1"/>
  <c r="K173" i="8"/>
  <c r="L173" i="8" a="1"/>
  <c r="L173" i="8"/>
  <c r="K174" i="8" a="1"/>
  <c r="K174" i="8"/>
  <c r="L174" i="8" a="1"/>
  <c r="L174" i="8"/>
  <c r="K175" i="8" a="1"/>
  <c r="K175" i="8"/>
  <c r="L175" i="8" a="1"/>
  <c r="L175" i="8"/>
  <c r="K176" i="8" a="1"/>
  <c r="K176" i="8"/>
  <c r="L176" i="8" a="1"/>
  <c r="L176" i="8"/>
  <c r="K177" i="8" a="1"/>
  <c r="K177" i="8"/>
  <c r="L177" i="8" a="1"/>
  <c r="L177" i="8"/>
  <c r="K178" i="8" a="1"/>
  <c r="K178" i="8"/>
  <c r="L178" i="8" a="1"/>
  <c r="L178" i="8"/>
  <c r="K179" i="8" a="1"/>
  <c r="K179" i="8"/>
  <c r="L179" i="8" a="1"/>
  <c r="L179" i="8"/>
  <c r="K180" i="8" a="1"/>
  <c r="K180" i="8"/>
  <c r="L180" i="8" a="1"/>
  <c r="L180" i="8"/>
  <c r="K181" i="8" a="1"/>
  <c r="K181" i="8"/>
  <c r="L181" i="8" a="1"/>
  <c r="L181" i="8"/>
  <c r="K182" i="8" a="1"/>
  <c r="K182" i="8"/>
  <c r="L182" i="8" a="1"/>
  <c r="L182" i="8"/>
  <c r="K183" i="8" a="1"/>
  <c r="K183" i="8"/>
  <c r="L183" i="8" a="1"/>
  <c r="L183" i="8"/>
  <c r="K184" i="8" a="1"/>
  <c r="K184" i="8"/>
  <c r="L184" i="8" a="1"/>
  <c r="L184" i="8"/>
  <c r="K185" i="8" a="1"/>
  <c r="K185" i="8"/>
  <c r="L185" i="8" a="1"/>
  <c r="L185" i="8"/>
  <c r="K186" i="8" a="1"/>
  <c r="K186" i="8"/>
  <c r="L186" i="8" a="1"/>
  <c r="L186" i="8"/>
  <c r="K187" i="8" a="1"/>
  <c r="K187" i="8"/>
  <c r="L187" i="8" a="1"/>
  <c r="L187" i="8"/>
  <c r="K188" i="8" a="1"/>
  <c r="K188" i="8"/>
  <c r="L188" i="8" a="1"/>
  <c r="L188" i="8"/>
  <c r="K189" i="8" a="1"/>
  <c r="K189" i="8"/>
  <c r="L189" i="8" a="1"/>
  <c r="L189" i="8"/>
  <c r="K190" i="8" a="1"/>
  <c r="K190" i="8"/>
  <c r="L190" i="8" a="1"/>
  <c r="L190" i="8"/>
  <c r="K191" i="8" a="1"/>
  <c r="K191" i="8"/>
  <c r="L191" i="8" a="1"/>
  <c r="L191" i="8"/>
  <c r="K192" i="8" a="1"/>
  <c r="K192" i="8"/>
  <c r="L192" i="8" a="1"/>
  <c r="L192" i="8"/>
  <c r="K193" i="8" a="1"/>
  <c r="K193" i="8"/>
  <c r="L193" i="8" a="1"/>
  <c r="L193" i="8"/>
  <c r="K194" i="8" a="1"/>
  <c r="K194" i="8"/>
  <c r="L194" i="8" a="1"/>
  <c r="L194" i="8"/>
  <c r="K195" i="8" a="1"/>
  <c r="K195" i="8"/>
  <c r="L195" i="8" a="1"/>
  <c r="L195" i="8"/>
  <c r="K196" i="8" a="1"/>
  <c r="K196" i="8"/>
  <c r="L196" i="8" a="1"/>
  <c r="L196" i="8"/>
  <c r="K197" i="8" a="1"/>
  <c r="K197" i="8"/>
  <c r="L197" i="8" a="1"/>
  <c r="L197" i="8"/>
  <c r="K198" i="8" a="1"/>
  <c r="K198" i="8"/>
  <c r="L198" i="8" a="1"/>
  <c r="L198" i="8"/>
  <c r="K199" i="8" a="1"/>
  <c r="K199" i="8"/>
  <c r="L199" i="8" a="1"/>
  <c r="L199" i="8"/>
  <c r="K200" i="8" a="1"/>
  <c r="K200" i="8"/>
  <c r="L200" i="8" a="1"/>
  <c r="L200" i="8"/>
  <c r="K201" i="8" a="1"/>
  <c r="K201" i="8"/>
  <c r="L201" i="8" a="1"/>
  <c r="L201" i="8"/>
  <c r="J1" i="8" a="1"/>
  <c r="J1" i="8"/>
  <c r="J2" i="8" a="1"/>
  <c r="J2" i="8"/>
  <c r="J3" i="8" a="1"/>
  <c r="J3" i="8"/>
  <c r="J4" i="8" a="1"/>
  <c r="J4" i="8"/>
  <c r="J5" i="8" a="1"/>
  <c r="J5" i="8"/>
  <c r="J6" i="8" a="1"/>
  <c r="J6" i="8"/>
  <c r="J7" i="8" a="1"/>
  <c r="J7" i="8"/>
  <c r="J8" i="8" a="1"/>
  <c r="J8" i="8"/>
  <c r="J9" i="8" a="1"/>
  <c r="J9" i="8"/>
  <c r="J10" i="8" a="1"/>
  <c r="J10" i="8"/>
  <c r="J11" i="8" a="1"/>
  <c r="J11" i="8"/>
  <c r="J12" i="8" a="1"/>
  <c r="J12" i="8"/>
  <c r="J13" i="8" a="1"/>
  <c r="J13" i="8"/>
  <c r="J14" i="8" a="1"/>
  <c r="J14" i="8"/>
  <c r="J15" i="8" a="1"/>
  <c r="J15" i="8"/>
  <c r="J16" i="8" a="1"/>
  <c r="J16" i="8"/>
  <c r="J17" i="8" a="1"/>
  <c r="J17" i="8"/>
  <c r="J18" i="8" a="1"/>
  <c r="J18" i="8"/>
  <c r="J19" i="8" a="1"/>
  <c r="J19" i="8"/>
  <c r="J20" i="8" a="1"/>
  <c r="J20" i="8"/>
  <c r="J21" i="8" a="1"/>
  <c r="J21" i="8"/>
  <c r="J22" i="8" a="1"/>
  <c r="J22" i="8"/>
  <c r="J23" i="8" a="1"/>
  <c r="J23" i="8"/>
  <c r="J24" i="8" a="1"/>
  <c r="J24" i="8"/>
  <c r="J25" i="8" a="1"/>
  <c r="J25" i="8"/>
  <c r="J26" i="8" a="1"/>
  <c r="J26" i="8"/>
  <c r="J27" i="8" a="1"/>
  <c r="J27" i="8"/>
  <c r="J28" i="8" a="1"/>
  <c r="J28" i="8"/>
  <c r="J29" i="8" a="1"/>
  <c r="J29" i="8"/>
  <c r="J30" i="8" a="1"/>
  <c r="J30" i="8"/>
  <c r="J31" i="8" a="1"/>
  <c r="J31" i="8"/>
  <c r="J32" i="8" a="1"/>
  <c r="J32" i="8"/>
  <c r="J33" i="8" a="1"/>
  <c r="J33" i="8"/>
  <c r="J34" i="8" a="1"/>
  <c r="J34" i="8"/>
  <c r="J35" i="8" a="1"/>
  <c r="J35" i="8"/>
  <c r="J36" i="8" a="1"/>
  <c r="J36" i="8"/>
  <c r="J37" i="8" a="1"/>
  <c r="J37" i="8"/>
  <c r="J38" i="8" a="1"/>
  <c r="J38" i="8"/>
  <c r="J39" i="8" a="1"/>
  <c r="J39" i="8"/>
  <c r="J40" i="8" a="1"/>
  <c r="J40" i="8"/>
  <c r="J41" i="8" a="1"/>
  <c r="J41" i="8"/>
  <c r="J42" i="8" a="1"/>
  <c r="J42" i="8"/>
  <c r="J43" i="8" a="1"/>
  <c r="J43" i="8"/>
  <c r="J44" i="8" a="1"/>
  <c r="J44" i="8"/>
  <c r="J45" i="8" a="1"/>
  <c r="J45" i="8"/>
  <c r="J46" i="8" a="1"/>
  <c r="J46" i="8"/>
  <c r="J47" i="8" a="1"/>
  <c r="J47" i="8"/>
  <c r="J48" i="8" a="1"/>
  <c r="J48" i="8"/>
  <c r="J49" i="8" a="1"/>
  <c r="J49" i="8"/>
  <c r="J50" i="8" a="1"/>
  <c r="J50" i="8"/>
  <c r="J51" i="8" a="1"/>
  <c r="J51" i="8"/>
  <c r="J52" i="8" a="1"/>
  <c r="J52" i="8"/>
  <c r="J53" i="8" a="1"/>
  <c r="J53" i="8"/>
  <c r="J54" i="8" a="1"/>
  <c r="J54" i="8"/>
  <c r="J55" i="8" a="1"/>
  <c r="J55" i="8"/>
  <c r="J56" i="8" a="1"/>
  <c r="J56" i="8"/>
  <c r="J57" i="8" a="1"/>
  <c r="J57" i="8"/>
  <c r="J58" i="8" a="1"/>
  <c r="J58" i="8"/>
  <c r="J59" i="8" a="1"/>
  <c r="J59" i="8"/>
  <c r="J60" i="8" a="1"/>
  <c r="J60" i="8"/>
  <c r="J61" i="8" a="1"/>
  <c r="J61" i="8"/>
  <c r="J62" i="8" a="1"/>
  <c r="J62" i="8"/>
  <c r="J63" i="8" a="1"/>
  <c r="J63" i="8"/>
  <c r="J64" i="8" a="1"/>
  <c r="J64" i="8"/>
  <c r="J65" i="8" a="1"/>
  <c r="J65" i="8"/>
  <c r="J66" i="8" a="1"/>
  <c r="J66" i="8"/>
  <c r="J67" i="8" a="1"/>
  <c r="J67" i="8"/>
  <c r="J68" i="8" a="1"/>
  <c r="J68" i="8"/>
  <c r="J69" i="8" a="1"/>
  <c r="J69" i="8"/>
  <c r="J70" i="8" a="1"/>
  <c r="J70" i="8"/>
  <c r="J71" i="8" a="1"/>
  <c r="J71" i="8"/>
  <c r="J72" i="8" a="1"/>
  <c r="J72" i="8"/>
  <c r="J73" i="8" a="1"/>
  <c r="J73" i="8"/>
  <c r="J74" i="8" a="1"/>
  <c r="J74" i="8"/>
  <c r="J75" i="8" a="1"/>
  <c r="J75" i="8"/>
  <c r="J76" i="8" a="1"/>
  <c r="J76" i="8"/>
  <c r="J77" i="8" a="1"/>
  <c r="J77" i="8"/>
  <c r="J78" i="8" a="1"/>
  <c r="J78" i="8"/>
  <c r="J79" i="8" a="1"/>
  <c r="J79" i="8"/>
  <c r="J80" i="8" a="1"/>
  <c r="J80" i="8"/>
  <c r="J81" i="8" a="1"/>
  <c r="J81" i="8"/>
  <c r="J82" i="8" a="1"/>
  <c r="J82" i="8"/>
  <c r="J83" i="8" a="1"/>
  <c r="J83" i="8"/>
  <c r="J84" i="8" a="1"/>
  <c r="J84" i="8"/>
  <c r="J85" i="8" a="1"/>
  <c r="J85" i="8"/>
  <c r="J86" i="8" a="1"/>
  <c r="J86" i="8"/>
  <c r="J87" i="8" a="1"/>
  <c r="J87" i="8"/>
  <c r="J88" i="8" a="1"/>
  <c r="J88" i="8"/>
  <c r="J89" i="8" a="1"/>
  <c r="J89" i="8"/>
  <c r="J90" i="8" a="1"/>
  <c r="J90" i="8"/>
  <c r="J91" i="8" a="1"/>
  <c r="J91" i="8"/>
  <c r="J92" i="8" a="1"/>
  <c r="J92" i="8"/>
  <c r="J93" i="8" a="1"/>
  <c r="J93" i="8"/>
  <c r="J94" i="8" a="1"/>
  <c r="J94" i="8"/>
  <c r="J95" i="8" a="1"/>
  <c r="J95" i="8"/>
  <c r="J96" i="8" a="1"/>
  <c r="J96" i="8"/>
  <c r="J97" i="8" a="1"/>
  <c r="J97" i="8"/>
  <c r="J98" i="8" a="1"/>
  <c r="J98" i="8"/>
  <c r="J99" i="8" a="1"/>
  <c r="J99" i="8"/>
  <c r="J100" i="8" a="1"/>
  <c r="J100" i="8"/>
  <c r="J101" i="8" a="1"/>
  <c r="J101" i="8"/>
  <c r="J102" i="8" a="1"/>
  <c r="J102" i="8"/>
  <c r="J103" i="8" a="1"/>
  <c r="J103" i="8"/>
  <c r="J104" i="8" a="1"/>
  <c r="J104" i="8"/>
  <c r="J105" i="8" a="1"/>
  <c r="J105" i="8"/>
  <c r="J106" i="8" a="1"/>
  <c r="J106" i="8"/>
  <c r="J107" i="8" a="1"/>
  <c r="J107" i="8"/>
  <c r="J108" i="8" a="1"/>
  <c r="J108" i="8"/>
  <c r="J109" i="8" a="1"/>
  <c r="J109" i="8"/>
  <c r="J110" i="8" a="1"/>
  <c r="J110" i="8"/>
  <c r="J111" i="8" a="1"/>
  <c r="J111" i="8"/>
  <c r="J112" i="8" a="1"/>
  <c r="J112" i="8"/>
  <c r="J113" i="8" a="1"/>
  <c r="J113" i="8"/>
  <c r="J114" i="8" a="1"/>
  <c r="J114" i="8"/>
  <c r="J115" i="8" a="1"/>
  <c r="J115" i="8"/>
  <c r="J116" i="8" a="1"/>
  <c r="J116" i="8"/>
  <c r="J117" i="8" a="1"/>
  <c r="J117" i="8"/>
  <c r="J118" i="8" a="1"/>
  <c r="J118" i="8"/>
  <c r="J119" i="8" a="1"/>
  <c r="J119" i="8"/>
  <c r="J120" i="8" a="1"/>
  <c r="J120" i="8"/>
  <c r="J121" i="8" a="1"/>
  <c r="J121" i="8"/>
  <c r="J122" i="8" a="1"/>
  <c r="J122" i="8"/>
  <c r="J123" i="8" a="1"/>
  <c r="J123" i="8"/>
  <c r="J124" i="8" a="1"/>
  <c r="J124" i="8"/>
  <c r="J125" i="8" a="1"/>
  <c r="J125" i="8"/>
  <c r="J126" i="8" a="1"/>
  <c r="J126" i="8"/>
  <c r="J127" i="8" a="1"/>
  <c r="J127" i="8"/>
  <c r="J128" i="8" a="1"/>
  <c r="J128" i="8"/>
  <c r="J129" i="8" a="1"/>
  <c r="J129" i="8"/>
  <c r="J130" i="8" a="1"/>
  <c r="J130" i="8"/>
  <c r="J131" i="8" a="1"/>
  <c r="J131" i="8"/>
  <c r="J132" i="8" a="1"/>
  <c r="J132" i="8"/>
  <c r="J133" i="8" a="1"/>
  <c r="J133" i="8"/>
  <c r="J134" i="8" a="1"/>
  <c r="J134" i="8"/>
  <c r="J135" i="8" a="1"/>
  <c r="J135" i="8"/>
  <c r="J136" i="8" a="1"/>
  <c r="J136" i="8"/>
  <c r="J137" i="8" a="1"/>
  <c r="J137" i="8"/>
  <c r="J138" i="8" a="1"/>
  <c r="J138" i="8"/>
  <c r="J139" i="8" a="1"/>
  <c r="J139" i="8"/>
  <c r="J140" i="8" a="1"/>
  <c r="J140" i="8"/>
  <c r="J141" i="8" a="1"/>
  <c r="J141" i="8"/>
  <c r="J142" i="8" a="1"/>
  <c r="J142" i="8"/>
  <c r="J143" i="8" a="1"/>
  <c r="J143" i="8"/>
  <c r="J144" i="8" a="1"/>
  <c r="J144" i="8"/>
  <c r="J145" i="8" a="1"/>
  <c r="J145" i="8"/>
  <c r="J146" i="8" a="1"/>
  <c r="J146" i="8"/>
  <c r="J147" i="8" a="1"/>
  <c r="J147" i="8"/>
  <c r="J148" i="8" a="1"/>
  <c r="J148" i="8"/>
  <c r="J149" i="8" a="1"/>
  <c r="J149" i="8"/>
  <c r="J150" i="8" a="1"/>
  <c r="J150" i="8"/>
  <c r="J151" i="8" a="1"/>
  <c r="J151" i="8"/>
  <c r="J152" i="8" a="1"/>
  <c r="J152" i="8"/>
  <c r="J153" i="8" a="1"/>
  <c r="J153" i="8"/>
  <c r="J154" i="8" a="1"/>
  <c r="J154" i="8"/>
  <c r="J155" i="8" a="1"/>
  <c r="J155" i="8"/>
  <c r="J156" i="8" a="1"/>
  <c r="J156" i="8"/>
  <c r="J157" i="8" a="1"/>
  <c r="J157" i="8"/>
  <c r="J158" i="8" a="1"/>
  <c r="J158" i="8"/>
  <c r="J159" i="8" a="1"/>
  <c r="J159" i="8"/>
  <c r="J160" i="8" a="1"/>
  <c r="J160" i="8"/>
  <c r="J161" i="8" a="1"/>
  <c r="J161" i="8"/>
  <c r="J162" i="8" a="1"/>
  <c r="J162" i="8"/>
  <c r="J163" i="8" a="1"/>
  <c r="J163" i="8"/>
  <c r="J164" i="8" a="1"/>
  <c r="J164" i="8"/>
  <c r="J165" i="8" a="1"/>
  <c r="J165" i="8"/>
  <c r="J166" i="8" a="1"/>
  <c r="J166" i="8"/>
  <c r="J167" i="8" a="1"/>
  <c r="J167" i="8"/>
  <c r="J168" i="8" a="1"/>
  <c r="J168" i="8"/>
  <c r="J169" i="8" a="1"/>
  <c r="J169" i="8"/>
  <c r="J170" i="8" a="1"/>
  <c r="J170" i="8"/>
  <c r="J171" i="8" a="1"/>
  <c r="J171" i="8"/>
  <c r="J172" i="8" a="1"/>
  <c r="J172" i="8"/>
  <c r="J173" i="8" a="1"/>
  <c r="J173" i="8"/>
  <c r="J174" i="8" a="1"/>
  <c r="J174" i="8"/>
  <c r="J175" i="8" a="1"/>
  <c r="J175" i="8"/>
  <c r="J176" i="8" a="1"/>
  <c r="J176" i="8"/>
  <c r="J177" i="8" a="1"/>
  <c r="J177" i="8"/>
  <c r="J178" i="8" a="1"/>
  <c r="J178" i="8"/>
  <c r="J179" i="8" a="1"/>
  <c r="J179" i="8"/>
  <c r="J180" i="8" a="1"/>
  <c r="J180" i="8"/>
  <c r="J181" i="8" a="1"/>
  <c r="J181" i="8"/>
  <c r="J182" i="8" a="1"/>
  <c r="J182" i="8"/>
  <c r="J183" i="8" a="1"/>
  <c r="J183" i="8"/>
  <c r="J184" i="8" a="1"/>
  <c r="J184" i="8"/>
  <c r="J185" i="8" a="1"/>
  <c r="J185" i="8"/>
  <c r="J186" i="8" a="1"/>
  <c r="J186" i="8"/>
  <c r="J187" i="8" a="1"/>
  <c r="J187" i="8"/>
  <c r="J188" i="8" a="1"/>
  <c r="J188" i="8"/>
  <c r="J189" i="8" a="1"/>
  <c r="J189" i="8"/>
  <c r="J190" i="8" a="1"/>
  <c r="J190" i="8"/>
  <c r="J191" i="8" a="1"/>
  <c r="J191" i="8"/>
  <c r="J192" i="8" a="1"/>
  <c r="J192" i="8"/>
  <c r="J193" i="8" a="1"/>
  <c r="J193" i="8"/>
  <c r="J194" i="8" a="1"/>
  <c r="J194" i="8"/>
  <c r="J195" i="8" a="1"/>
  <c r="J195" i="8"/>
  <c r="J196" i="8" a="1"/>
  <c r="J196" i="8"/>
  <c r="J197" i="8" a="1"/>
  <c r="J197" i="8"/>
  <c r="J198" i="8" a="1"/>
  <c r="J198" i="8"/>
  <c r="J199" i="8" a="1"/>
  <c r="J199" i="8"/>
  <c r="J200" i="8" a="1"/>
  <c r="J200" i="8"/>
  <c r="J201" i="8" a="1"/>
  <c r="J201" i="8"/>
  <c r="I2" i="8" a="1"/>
  <c r="I2" i="8"/>
  <c r="I3" i="8" a="1"/>
  <c r="I3" i="8"/>
  <c r="I4" i="8" a="1"/>
  <c r="I4" i="8"/>
  <c r="I5" i="8" a="1"/>
  <c r="I5" i="8"/>
  <c r="I6" i="8" a="1"/>
  <c r="I6" i="8"/>
  <c r="I7" i="8" a="1"/>
  <c r="I7" i="8"/>
  <c r="I8" i="8" a="1"/>
  <c r="I8" i="8"/>
  <c r="I9" i="8" a="1"/>
  <c r="I9" i="8"/>
  <c r="I10" i="8" a="1"/>
  <c r="I10" i="8"/>
  <c r="I11" i="8" a="1"/>
  <c r="I11" i="8"/>
  <c r="I12" i="8" a="1"/>
  <c r="I12" i="8"/>
  <c r="I13" i="8" a="1"/>
  <c r="I13" i="8"/>
  <c r="I14" i="8" a="1"/>
  <c r="I14" i="8"/>
  <c r="I15" i="8" a="1"/>
  <c r="I15" i="8"/>
  <c r="I16" i="8" a="1"/>
  <c r="I16" i="8"/>
  <c r="I17" i="8" a="1"/>
  <c r="I17" i="8"/>
  <c r="I18" i="8" a="1"/>
  <c r="I18" i="8"/>
  <c r="I19" i="8" a="1"/>
  <c r="I19" i="8"/>
  <c r="I20" i="8" a="1"/>
  <c r="I20" i="8"/>
  <c r="I21" i="8" a="1"/>
  <c r="I21" i="8"/>
  <c r="I22" i="8" a="1"/>
  <c r="I22" i="8"/>
  <c r="I23" i="8" a="1"/>
  <c r="I23" i="8"/>
  <c r="I24" i="8" a="1"/>
  <c r="I24" i="8"/>
  <c r="I25" i="8" a="1"/>
  <c r="I25" i="8"/>
  <c r="I26" i="8" a="1"/>
  <c r="I26" i="8"/>
  <c r="I27" i="8" a="1"/>
  <c r="I27" i="8"/>
  <c r="I28" i="8" a="1"/>
  <c r="I28" i="8"/>
  <c r="I29" i="8" a="1"/>
  <c r="I29" i="8"/>
  <c r="I30" i="8" a="1"/>
  <c r="I30" i="8"/>
  <c r="I31" i="8" a="1"/>
  <c r="I31" i="8"/>
  <c r="I32" i="8" a="1"/>
  <c r="I32" i="8"/>
  <c r="I33" i="8" a="1"/>
  <c r="I33" i="8"/>
  <c r="I34" i="8" a="1"/>
  <c r="I34" i="8"/>
  <c r="I35" i="8" a="1"/>
  <c r="I35" i="8"/>
  <c r="I36" i="8" a="1"/>
  <c r="I36" i="8"/>
  <c r="I37" i="8" a="1"/>
  <c r="I37" i="8"/>
  <c r="I38" i="8" a="1"/>
  <c r="I38" i="8"/>
  <c r="I39" i="8" a="1"/>
  <c r="I39" i="8"/>
  <c r="I40" i="8" a="1"/>
  <c r="I40" i="8"/>
  <c r="I41" i="8" a="1"/>
  <c r="I41" i="8"/>
  <c r="I42" i="8" a="1"/>
  <c r="I42" i="8"/>
  <c r="I43" i="8" a="1"/>
  <c r="I43" i="8"/>
  <c r="I44" i="8" a="1"/>
  <c r="I44" i="8"/>
  <c r="I45" i="8" a="1"/>
  <c r="I45" i="8"/>
  <c r="I46" i="8" a="1"/>
  <c r="I46" i="8"/>
  <c r="I47" i="8" a="1"/>
  <c r="I47" i="8"/>
  <c r="I48" i="8" a="1"/>
  <c r="I48" i="8"/>
  <c r="I49" i="8" a="1"/>
  <c r="I49" i="8"/>
  <c r="I50" i="8" a="1"/>
  <c r="I50" i="8"/>
  <c r="I51" i="8" a="1"/>
  <c r="I51" i="8"/>
  <c r="I52" i="8" a="1"/>
  <c r="I52" i="8"/>
  <c r="I53" i="8" a="1"/>
  <c r="I53" i="8"/>
  <c r="I54" i="8" a="1"/>
  <c r="I54" i="8"/>
  <c r="I55" i="8" a="1"/>
  <c r="I55" i="8"/>
  <c r="I56" i="8" a="1"/>
  <c r="I56" i="8"/>
  <c r="I57" i="8" a="1"/>
  <c r="I57" i="8"/>
  <c r="I58" i="8" a="1"/>
  <c r="I58" i="8"/>
  <c r="I59" i="8" a="1"/>
  <c r="I59" i="8"/>
  <c r="I60" i="8" a="1"/>
  <c r="I60" i="8"/>
  <c r="I61" i="8" a="1"/>
  <c r="I61" i="8"/>
  <c r="I62" i="8" a="1"/>
  <c r="I62" i="8"/>
  <c r="I63" i="8" a="1"/>
  <c r="I63" i="8"/>
  <c r="I64" i="8" a="1"/>
  <c r="I64" i="8"/>
  <c r="I65" i="8" a="1"/>
  <c r="I65" i="8"/>
  <c r="I66" i="8" a="1"/>
  <c r="I66" i="8"/>
  <c r="I67" i="8" a="1"/>
  <c r="I67" i="8"/>
  <c r="I68" i="8" a="1"/>
  <c r="I68" i="8"/>
  <c r="I69" i="8" a="1"/>
  <c r="I69" i="8"/>
  <c r="I70" i="8" a="1"/>
  <c r="I70" i="8"/>
  <c r="I71" i="8" a="1"/>
  <c r="I71" i="8"/>
  <c r="I72" i="8" a="1"/>
  <c r="I72" i="8"/>
  <c r="I73" i="8" a="1"/>
  <c r="I73" i="8"/>
  <c r="I74" i="8" a="1"/>
  <c r="I74" i="8"/>
  <c r="I75" i="8" a="1"/>
  <c r="I75" i="8"/>
  <c r="I76" i="8" a="1"/>
  <c r="I76" i="8"/>
  <c r="I77" i="8" a="1"/>
  <c r="I77" i="8"/>
  <c r="I78" i="8" a="1"/>
  <c r="I78" i="8"/>
  <c r="I79" i="8" a="1"/>
  <c r="I79" i="8"/>
  <c r="I80" i="8" a="1"/>
  <c r="I80" i="8"/>
  <c r="I81" i="8" a="1"/>
  <c r="I81" i="8"/>
  <c r="I82" i="8" a="1"/>
  <c r="I82" i="8"/>
  <c r="I83" i="8" a="1"/>
  <c r="I83" i="8"/>
  <c r="I84" i="8" a="1"/>
  <c r="I84" i="8"/>
  <c r="I85" i="8" a="1"/>
  <c r="I85" i="8"/>
  <c r="I86" i="8" a="1"/>
  <c r="I86" i="8"/>
  <c r="I87" i="8" a="1"/>
  <c r="I87" i="8"/>
  <c r="I88" i="8" a="1"/>
  <c r="I88" i="8"/>
  <c r="I89" i="8" a="1"/>
  <c r="I89" i="8"/>
  <c r="I90" i="8" a="1"/>
  <c r="I90" i="8"/>
  <c r="I91" i="8" a="1"/>
  <c r="I91" i="8"/>
  <c r="I92" i="8" a="1"/>
  <c r="I92" i="8"/>
  <c r="I93" i="8" a="1"/>
  <c r="I93" i="8"/>
  <c r="I94" i="8" a="1"/>
  <c r="I94" i="8"/>
  <c r="I95" i="8" a="1"/>
  <c r="I95" i="8"/>
  <c r="I96" i="8" a="1"/>
  <c r="I96" i="8"/>
  <c r="I97" i="8" a="1"/>
  <c r="I97" i="8"/>
  <c r="I98" i="8" a="1"/>
  <c r="I98" i="8"/>
  <c r="I99" i="8" a="1"/>
  <c r="I99" i="8"/>
  <c r="I100" i="8" a="1"/>
  <c r="I100" i="8"/>
  <c r="I101" i="8" a="1"/>
  <c r="I101" i="8"/>
  <c r="I102" i="8" a="1"/>
  <c r="I102" i="8"/>
  <c r="I103" i="8" a="1"/>
  <c r="I103" i="8"/>
  <c r="I104" i="8" a="1"/>
  <c r="I104" i="8"/>
  <c r="I105" i="8" a="1"/>
  <c r="I105" i="8"/>
  <c r="I106" i="8" a="1"/>
  <c r="I106" i="8"/>
  <c r="I107" i="8" a="1"/>
  <c r="I107" i="8"/>
  <c r="I108" i="8" a="1"/>
  <c r="I108" i="8"/>
  <c r="I109" i="8" a="1"/>
  <c r="I109" i="8"/>
  <c r="I110" i="8" a="1"/>
  <c r="I110" i="8"/>
  <c r="I111" i="8" a="1"/>
  <c r="I111" i="8"/>
  <c r="I112" i="8" a="1"/>
  <c r="I112" i="8"/>
  <c r="I113" i="8" a="1"/>
  <c r="I113" i="8"/>
  <c r="I114" i="8" a="1"/>
  <c r="I114" i="8"/>
  <c r="I115" i="8" a="1"/>
  <c r="I115" i="8"/>
  <c r="I116" i="8" a="1"/>
  <c r="I116" i="8"/>
  <c r="I117" i="8" a="1"/>
  <c r="I117" i="8"/>
  <c r="I118" i="8" a="1"/>
  <c r="I118" i="8"/>
  <c r="I119" i="8" a="1"/>
  <c r="I119" i="8"/>
  <c r="I120" i="8" a="1"/>
  <c r="I120" i="8"/>
  <c r="I121" i="8" a="1"/>
  <c r="I121" i="8"/>
  <c r="I122" i="8" a="1"/>
  <c r="I122" i="8"/>
  <c r="I123" i="8" a="1"/>
  <c r="I123" i="8"/>
  <c r="I124" i="8" a="1"/>
  <c r="I124" i="8"/>
  <c r="I125" i="8" a="1"/>
  <c r="I125" i="8"/>
  <c r="I126" i="8" a="1"/>
  <c r="I126" i="8"/>
  <c r="I127" i="8" a="1"/>
  <c r="I127" i="8"/>
  <c r="I128" i="8" a="1"/>
  <c r="I128" i="8"/>
  <c r="I129" i="8" a="1"/>
  <c r="I129" i="8"/>
  <c r="I130" i="8" a="1"/>
  <c r="I130" i="8"/>
  <c r="I131" i="8" a="1"/>
  <c r="I131" i="8"/>
  <c r="I132" i="8" a="1"/>
  <c r="I132" i="8"/>
  <c r="I133" i="8" a="1"/>
  <c r="I133" i="8"/>
  <c r="I134" i="8" a="1"/>
  <c r="I134" i="8"/>
  <c r="I135" i="8" a="1"/>
  <c r="I135" i="8"/>
  <c r="I136" i="8" a="1"/>
  <c r="I136" i="8"/>
  <c r="I137" i="8" a="1"/>
  <c r="I137" i="8"/>
  <c r="I138" i="8" a="1"/>
  <c r="I138" i="8"/>
  <c r="I139" i="8" a="1"/>
  <c r="I139" i="8"/>
  <c r="I140" i="8" a="1"/>
  <c r="I140" i="8"/>
  <c r="I141" i="8" a="1"/>
  <c r="I141" i="8"/>
  <c r="I142" i="8" a="1"/>
  <c r="I142" i="8"/>
  <c r="I143" i="8" a="1"/>
  <c r="I143" i="8"/>
  <c r="I144" i="8" a="1"/>
  <c r="I144" i="8"/>
  <c r="I145" i="8" a="1"/>
  <c r="I145" i="8"/>
  <c r="I146" i="8" a="1"/>
  <c r="I146" i="8"/>
  <c r="I147" i="8" a="1"/>
  <c r="I147" i="8"/>
  <c r="I148" i="8" a="1"/>
  <c r="I148" i="8"/>
  <c r="I149" i="8" a="1"/>
  <c r="I149" i="8"/>
  <c r="I150" i="8" a="1"/>
  <c r="I150" i="8"/>
  <c r="I151" i="8" a="1"/>
  <c r="I151" i="8"/>
  <c r="I152" i="8" a="1"/>
  <c r="I152" i="8"/>
  <c r="I153" i="8" a="1"/>
  <c r="I153" i="8"/>
  <c r="I154" i="8" a="1"/>
  <c r="I154" i="8"/>
  <c r="I155" i="8" a="1"/>
  <c r="I155" i="8"/>
  <c r="I156" i="8" a="1"/>
  <c r="I156" i="8"/>
  <c r="I157" i="8" a="1"/>
  <c r="I157" i="8"/>
  <c r="I158" i="8" a="1"/>
  <c r="I158" i="8"/>
  <c r="I159" i="8" a="1"/>
  <c r="I159" i="8"/>
  <c r="I160" i="8" a="1"/>
  <c r="I160" i="8"/>
  <c r="I161" i="8" a="1"/>
  <c r="I161" i="8"/>
  <c r="I162" i="8" a="1"/>
  <c r="I162" i="8"/>
  <c r="I163" i="8" a="1"/>
  <c r="I163" i="8"/>
  <c r="I164" i="8" a="1"/>
  <c r="I164" i="8"/>
  <c r="I165" i="8" a="1"/>
  <c r="I165" i="8"/>
  <c r="I166" i="8" a="1"/>
  <c r="I166" i="8"/>
  <c r="I167" i="8" a="1"/>
  <c r="I167" i="8"/>
  <c r="I168" i="8" a="1"/>
  <c r="I168" i="8"/>
  <c r="I169" i="8" a="1"/>
  <c r="I169" i="8"/>
  <c r="I170" i="8" a="1"/>
  <c r="I170" i="8"/>
  <c r="I171" i="8" a="1"/>
  <c r="I171" i="8"/>
  <c r="I172" i="8" a="1"/>
  <c r="I172" i="8"/>
  <c r="I173" i="8" a="1"/>
  <c r="I173" i="8"/>
  <c r="I174" i="8" a="1"/>
  <c r="I174" i="8"/>
  <c r="I175" i="8" a="1"/>
  <c r="I175" i="8"/>
  <c r="I176" i="8" a="1"/>
  <c r="I176" i="8"/>
  <c r="I177" i="8" a="1"/>
  <c r="I177" i="8"/>
  <c r="I178" i="8" a="1"/>
  <c r="I178" i="8"/>
  <c r="I179" i="8" a="1"/>
  <c r="I179" i="8"/>
  <c r="I180" i="8" a="1"/>
  <c r="I180" i="8"/>
  <c r="I181" i="8" a="1"/>
  <c r="I181" i="8"/>
  <c r="I182" i="8" a="1"/>
  <c r="I182" i="8"/>
  <c r="I183" i="8" a="1"/>
  <c r="I183" i="8"/>
  <c r="I184" i="8" a="1"/>
  <c r="I184" i="8"/>
  <c r="I185" i="8" a="1"/>
  <c r="I185" i="8"/>
  <c r="I186" i="8" a="1"/>
  <c r="I186" i="8"/>
  <c r="I187" i="8" a="1"/>
  <c r="I187" i="8"/>
  <c r="I188" i="8" a="1"/>
  <c r="I188" i="8"/>
  <c r="I189" i="8" a="1"/>
  <c r="I189" i="8"/>
  <c r="I190" i="8" a="1"/>
  <c r="I190" i="8"/>
  <c r="I191" i="8" a="1"/>
  <c r="I191" i="8"/>
  <c r="I192" i="8" a="1"/>
  <c r="I192" i="8"/>
  <c r="I193" i="8" a="1"/>
  <c r="I193" i="8"/>
  <c r="I194" i="8" a="1"/>
  <c r="I194" i="8"/>
  <c r="I195" i="8" a="1"/>
  <c r="I195" i="8"/>
  <c r="I196" i="8" a="1"/>
  <c r="I196" i="8"/>
  <c r="I197" i="8" a="1"/>
  <c r="I197" i="8"/>
  <c r="I198" i="8" a="1"/>
  <c r="I198" i="8"/>
  <c r="I199" i="8" a="1"/>
  <c r="I199" i="8"/>
  <c r="I200" i="8" a="1"/>
  <c r="I200" i="8"/>
  <c r="I201" i="8" a="1"/>
  <c r="I201" i="8"/>
  <c r="I1" i="8" a="1"/>
  <c r="I1" i="8"/>
  <c r="H3" i="8" a="1"/>
  <c r="H3" i="8"/>
  <c r="H4" i="8" a="1"/>
  <c r="H4" i="8"/>
  <c r="H5" i="8" a="1"/>
  <c r="H5" i="8"/>
  <c r="H6" i="8" a="1"/>
  <c r="H6" i="8"/>
  <c r="H7" i="8" a="1"/>
  <c r="H7" i="8"/>
  <c r="H8" i="8" a="1"/>
  <c r="H8" i="8"/>
  <c r="H9" i="8" a="1"/>
  <c r="H9" i="8"/>
  <c r="H10" i="8" a="1"/>
  <c r="H10" i="8"/>
  <c r="H11" i="8" a="1"/>
  <c r="H11" i="8"/>
  <c r="H12" i="8" a="1"/>
  <c r="H12" i="8"/>
  <c r="H13" i="8" a="1"/>
  <c r="H13" i="8"/>
  <c r="H14" i="8" a="1"/>
  <c r="H14" i="8"/>
  <c r="H15" i="8" a="1"/>
  <c r="H15" i="8"/>
  <c r="H16" i="8" a="1"/>
  <c r="H16" i="8"/>
  <c r="H17" i="8" a="1"/>
  <c r="H17" i="8"/>
  <c r="H18" i="8" a="1"/>
  <c r="H18" i="8"/>
  <c r="H19" i="8" a="1"/>
  <c r="H19" i="8"/>
  <c r="H20" i="8" a="1"/>
  <c r="H20" i="8"/>
  <c r="H21" i="8" a="1"/>
  <c r="H21" i="8"/>
  <c r="H22" i="8" a="1"/>
  <c r="H22" i="8"/>
  <c r="H23" i="8" a="1"/>
  <c r="H23" i="8"/>
  <c r="H24" i="8" a="1"/>
  <c r="H24" i="8"/>
  <c r="H25" i="8" a="1"/>
  <c r="H25" i="8"/>
  <c r="H26" i="8" a="1"/>
  <c r="H26" i="8"/>
  <c r="H27" i="8" a="1"/>
  <c r="H27" i="8"/>
  <c r="H28" i="8" a="1"/>
  <c r="H28" i="8"/>
  <c r="H29" i="8" a="1"/>
  <c r="H29" i="8"/>
  <c r="H30" i="8" a="1"/>
  <c r="H30" i="8"/>
  <c r="H31" i="8" a="1"/>
  <c r="H31" i="8"/>
  <c r="H32" i="8" a="1"/>
  <c r="H32" i="8"/>
  <c r="H33" i="8" a="1"/>
  <c r="H33" i="8"/>
  <c r="H34" i="8" a="1"/>
  <c r="H34" i="8"/>
  <c r="H35" i="8" a="1"/>
  <c r="H35" i="8"/>
  <c r="H36" i="8" a="1"/>
  <c r="H36" i="8"/>
  <c r="H37" i="8" a="1"/>
  <c r="H37" i="8"/>
  <c r="H38" i="8" a="1"/>
  <c r="H38" i="8"/>
  <c r="H39" i="8" a="1"/>
  <c r="H39" i="8"/>
  <c r="H40" i="8" a="1"/>
  <c r="H40" i="8"/>
  <c r="H41" i="8" a="1"/>
  <c r="H41" i="8"/>
  <c r="H42" i="8" a="1"/>
  <c r="H42" i="8"/>
  <c r="H43" i="8" a="1"/>
  <c r="H43" i="8"/>
  <c r="H44" i="8" a="1"/>
  <c r="H44" i="8"/>
  <c r="H45" i="8" a="1"/>
  <c r="H45" i="8"/>
  <c r="H46" i="8" a="1"/>
  <c r="H46" i="8"/>
  <c r="H47" i="8" a="1"/>
  <c r="H47" i="8"/>
  <c r="H48" i="8" a="1"/>
  <c r="H48" i="8"/>
  <c r="H49" i="8" a="1"/>
  <c r="H49" i="8"/>
  <c r="H50" i="8" a="1"/>
  <c r="H50" i="8"/>
  <c r="H51" i="8" a="1"/>
  <c r="H51" i="8"/>
  <c r="H52" i="8" a="1"/>
  <c r="H52" i="8"/>
  <c r="H53" i="8" a="1"/>
  <c r="H53" i="8"/>
  <c r="H54" i="8" a="1"/>
  <c r="H54" i="8"/>
  <c r="H55" i="8" a="1"/>
  <c r="H55" i="8"/>
  <c r="H56" i="8" a="1"/>
  <c r="H56" i="8"/>
  <c r="H57" i="8" a="1"/>
  <c r="H57" i="8"/>
  <c r="H58" i="8" a="1"/>
  <c r="H58" i="8"/>
  <c r="H59" i="8" a="1"/>
  <c r="H59" i="8"/>
  <c r="H60" i="8" a="1"/>
  <c r="H60" i="8"/>
  <c r="H61" i="8" a="1"/>
  <c r="H61" i="8"/>
  <c r="H62" i="8" a="1"/>
  <c r="H62" i="8"/>
  <c r="H63" i="8" a="1"/>
  <c r="H63" i="8"/>
  <c r="H64" i="8" a="1"/>
  <c r="H64" i="8"/>
  <c r="H65" i="8" a="1"/>
  <c r="H65" i="8"/>
  <c r="H66" i="8" a="1"/>
  <c r="H66" i="8"/>
  <c r="H67" i="8" a="1"/>
  <c r="H67" i="8"/>
  <c r="H68" i="8" a="1"/>
  <c r="H68" i="8"/>
  <c r="H69" i="8" a="1"/>
  <c r="H69" i="8"/>
  <c r="H70" i="8" a="1"/>
  <c r="H70" i="8"/>
  <c r="H71" i="8" a="1"/>
  <c r="H71" i="8"/>
  <c r="H72" i="8" a="1"/>
  <c r="H72" i="8"/>
  <c r="H73" i="8" a="1"/>
  <c r="H73" i="8"/>
  <c r="H74" i="8" a="1"/>
  <c r="H74" i="8"/>
  <c r="H75" i="8" a="1"/>
  <c r="H75" i="8"/>
  <c r="H76" i="8" a="1"/>
  <c r="H76" i="8"/>
  <c r="H77" i="8" a="1"/>
  <c r="H77" i="8"/>
  <c r="H78" i="8" a="1"/>
  <c r="H78" i="8"/>
  <c r="H79" i="8" a="1"/>
  <c r="H79" i="8"/>
  <c r="H80" i="8" a="1"/>
  <c r="H80" i="8"/>
  <c r="H81" i="8" a="1"/>
  <c r="H81" i="8"/>
  <c r="H82" i="8" a="1"/>
  <c r="H82" i="8"/>
  <c r="H83" i="8" a="1"/>
  <c r="H83" i="8"/>
  <c r="H84" i="8" a="1"/>
  <c r="H84" i="8"/>
  <c r="H85" i="8" a="1"/>
  <c r="H85" i="8"/>
  <c r="H86" i="8" a="1"/>
  <c r="H86" i="8"/>
  <c r="H87" i="8" a="1"/>
  <c r="H87" i="8"/>
  <c r="H88" i="8" a="1"/>
  <c r="H88" i="8"/>
  <c r="H89" i="8" a="1"/>
  <c r="H89" i="8"/>
  <c r="H90" i="8" a="1"/>
  <c r="H90" i="8"/>
  <c r="H91" i="8" a="1"/>
  <c r="H91" i="8"/>
  <c r="H92" i="8" a="1"/>
  <c r="H92" i="8"/>
  <c r="H93" i="8" a="1"/>
  <c r="H93" i="8"/>
  <c r="H94" i="8" a="1"/>
  <c r="H94" i="8"/>
  <c r="H95" i="8" a="1"/>
  <c r="H95" i="8"/>
  <c r="H96" i="8" a="1"/>
  <c r="H96" i="8"/>
  <c r="H97" i="8" a="1"/>
  <c r="H97" i="8"/>
  <c r="H98" i="8" a="1"/>
  <c r="H98" i="8"/>
  <c r="H99" i="8" a="1"/>
  <c r="H99" i="8"/>
  <c r="H100" i="8" a="1"/>
  <c r="H100" i="8"/>
  <c r="H101" i="8" a="1"/>
  <c r="H101" i="8"/>
  <c r="H102" i="8" a="1"/>
  <c r="H102" i="8"/>
  <c r="H103" i="8" a="1"/>
  <c r="H103" i="8"/>
  <c r="H104" i="8" a="1"/>
  <c r="H104" i="8"/>
  <c r="H105" i="8" a="1"/>
  <c r="H105" i="8"/>
  <c r="H106" i="8" a="1"/>
  <c r="H106" i="8"/>
  <c r="H107" i="8" a="1"/>
  <c r="H107" i="8"/>
  <c r="H108" i="8" a="1"/>
  <c r="H108" i="8"/>
  <c r="H109" i="8" a="1"/>
  <c r="H109" i="8"/>
  <c r="H110" i="8" a="1"/>
  <c r="H110" i="8"/>
  <c r="H111" i="8" a="1"/>
  <c r="H111" i="8"/>
  <c r="H112" i="8" a="1"/>
  <c r="H112" i="8"/>
  <c r="H113" i="8" a="1"/>
  <c r="H113" i="8"/>
  <c r="H114" i="8" a="1"/>
  <c r="H114" i="8"/>
  <c r="H115" i="8" a="1"/>
  <c r="H115" i="8"/>
  <c r="H116" i="8" a="1"/>
  <c r="H116" i="8"/>
  <c r="H117" i="8" a="1"/>
  <c r="H117" i="8"/>
  <c r="H118" i="8" a="1"/>
  <c r="H118" i="8"/>
  <c r="H119" i="8" a="1"/>
  <c r="H119" i="8"/>
  <c r="H120" i="8" a="1"/>
  <c r="H120" i="8"/>
  <c r="H121" i="8" a="1"/>
  <c r="H121" i="8"/>
  <c r="H122" i="8" a="1"/>
  <c r="H122" i="8"/>
  <c r="H123" i="8" a="1"/>
  <c r="H123" i="8"/>
  <c r="H124" i="8" a="1"/>
  <c r="H124" i="8"/>
  <c r="H125" i="8" a="1"/>
  <c r="H125" i="8"/>
  <c r="H126" i="8" a="1"/>
  <c r="H126" i="8"/>
  <c r="H127" i="8" a="1"/>
  <c r="H127" i="8"/>
  <c r="H128" i="8" a="1"/>
  <c r="H128" i="8"/>
  <c r="H129" i="8" a="1"/>
  <c r="H129" i="8"/>
  <c r="H130" i="8" a="1"/>
  <c r="H130" i="8"/>
  <c r="H131" i="8" a="1"/>
  <c r="H131" i="8"/>
  <c r="H132" i="8" a="1"/>
  <c r="H132" i="8"/>
  <c r="H133" i="8" a="1"/>
  <c r="H133" i="8"/>
  <c r="H134" i="8" a="1"/>
  <c r="H134" i="8"/>
  <c r="H135" i="8" a="1"/>
  <c r="H135" i="8"/>
  <c r="H136" i="8" a="1"/>
  <c r="H136" i="8"/>
  <c r="H137" i="8" a="1"/>
  <c r="H137" i="8"/>
  <c r="H138" i="8" a="1"/>
  <c r="H138" i="8"/>
  <c r="H139" i="8" a="1"/>
  <c r="H139" i="8"/>
  <c r="H140" i="8" a="1"/>
  <c r="H140" i="8"/>
  <c r="H141" i="8" a="1"/>
  <c r="H141" i="8"/>
  <c r="H142" i="8" a="1"/>
  <c r="H142" i="8"/>
  <c r="H143" i="8" a="1"/>
  <c r="H143" i="8"/>
  <c r="H144" i="8" a="1"/>
  <c r="H144" i="8"/>
  <c r="H145" i="8" a="1"/>
  <c r="H145" i="8"/>
  <c r="H146" i="8" a="1"/>
  <c r="H146" i="8"/>
  <c r="H147" i="8" a="1"/>
  <c r="H147" i="8"/>
  <c r="H148" i="8" a="1"/>
  <c r="H148" i="8"/>
  <c r="H149" i="8" a="1"/>
  <c r="H149" i="8"/>
  <c r="H150" i="8" a="1"/>
  <c r="H150" i="8"/>
  <c r="H151" i="8" a="1"/>
  <c r="H151" i="8"/>
  <c r="H152" i="8" a="1"/>
  <c r="H152" i="8"/>
  <c r="H153" i="8" a="1"/>
  <c r="H153" i="8"/>
  <c r="H154" i="8" a="1"/>
  <c r="H154" i="8"/>
  <c r="H155" i="8" a="1"/>
  <c r="H155" i="8"/>
  <c r="H156" i="8" a="1"/>
  <c r="H156" i="8"/>
  <c r="H157" i="8" a="1"/>
  <c r="H157" i="8"/>
  <c r="H158" i="8" a="1"/>
  <c r="H158" i="8"/>
  <c r="H159" i="8" a="1"/>
  <c r="H159" i="8"/>
  <c r="H160" i="8" a="1"/>
  <c r="H160" i="8"/>
  <c r="H161" i="8" a="1"/>
  <c r="H161" i="8"/>
  <c r="H162" i="8" a="1"/>
  <c r="H162" i="8"/>
  <c r="H163" i="8" a="1"/>
  <c r="H163" i="8"/>
  <c r="H164" i="8" a="1"/>
  <c r="H164" i="8"/>
  <c r="H165" i="8" a="1"/>
  <c r="H165" i="8"/>
  <c r="H166" i="8" a="1"/>
  <c r="H166" i="8"/>
  <c r="H167" i="8" a="1"/>
  <c r="H167" i="8"/>
  <c r="H168" i="8" a="1"/>
  <c r="H168" i="8"/>
  <c r="H169" i="8" a="1"/>
  <c r="H169" i="8"/>
  <c r="H170" i="8" a="1"/>
  <c r="H170" i="8"/>
  <c r="H171" i="8" a="1"/>
  <c r="H171" i="8"/>
  <c r="H172" i="8" a="1"/>
  <c r="H172" i="8"/>
  <c r="H173" i="8" a="1"/>
  <c r="H173" i="8"/>
  <c r="H174" i="8" a="1"/>
  <c r="H174" i="8"/>
  <c r="H175" i="8" a="1"/>
  <c r="H175" i="8"/>
  <c r="H176" i="8" a="1"/>
  <c r="H176" i="8"/>
  <c r="H177" i="8" a="1"/>
  <c r="H177" i="8"/>
  <c r="H178" i="8" a="1"/>
  <c r="H178" i="8"/>
  <c r="H179" i="8" a="1"/>
  <c r="H179" i="8"/>
  <c r="H180" i="8" a="1"/>
  <c r="H180" i="8"/>
  <c r="H181" i="8" a="1"/>
  <c r="H181" i="8"/>
  <c r="H182" i="8" a="1"/>
  <c r="H182" i="8"/>
  <c r="H183" i="8" a="1"/>
  <c r="H183" i="8"/>
  <c r="H184" i="8" a="1"/>
  <c r="H184" i="8"/>
  <c r="H185" i="8" a="1"/>
  <c r="H185" i="8"/>
  <c r="H186" i="8" a="1"/>
  <c r="H186" i="8"/>
  <c r="H187" i="8" a="1"/>
  <c r="H187" i="8"/>
  <c r="H188" i="8" a="1"/>
  <c r="H188" i="8"/>
  <c r="H189" i="8" a="1"/>
  <c r="H189" i="8"/>
  <c r="H190" i="8" a="1"/>
  <c r="H190" i="8"/>
  <c r="H191" i="8" a="1"/>
  <c r="H191" i="8"/>
  <c r="H192" i="8" a="1"/>
  <c r="H192" i="8"/>
  <c r="H193" i="8" a="1"/>
  <c r="H193" i="8"/>
  <c r="H194" i="8" a="1"/>
  <c r="H194" i="8"/>
  <c r="H195" i="8" a="1"/>
  <c r="H195" i="8"/>
  <c r="H196" i="8" a="1"/>
  <c r="H196" i="8"/>
  <c r="H197" i="8" a="1"/>
  <c r="H197" i="8"/>
  <c r="H198" i="8" a="1"/>
  <c r="H198" i="8"/>
  <c r="H199" i="8" a="1"/>
  <c r="H199" i="8"/>
  <c r="H200" i="8" a="1"/>
  <c r="H200" i="8"/>
  <c r="H201" i="8" a="1"/>
  <c r="H201" i="8"/>
  <c r="H2" i="8" a="1"/>
  <c r="H2" i="8"/>
  <c r="H1" i="8" a="1"/>
  <c r="H1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" i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" i="4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<sst xmlns="http://schemas.openxmlformats.org/spreadsheetml/2006/main" count="51" uniqueCount="11">
  <si>
    <t xml:space="preserve"> PWM (µs)</t>
  </si>
  <si>
    <t xml:space="preserve"> RPM</t>
  </si>
  <si>
    <t xml:space="preserve"> Current (A)</t>
  </si>
  <si>
    <t xml:space="preserve"> Voltage (V)</t>
  </si>
  <si>
    <t xml:space="preserve"> Power (W)</t>
  </si>
  <si>
    <t xml:space="preserve"> Force (Kg f)</t>
  </si>
  <si>
    <t xml:space="preserve"> Efficiency (g/W)</t>
  </si>
  <si>
    <t>Force (N)</t>
  </si>
  <si>
    <t>CW</t>
  </si>
  <si>
    <t>Reflected</t>
  </si>
  <si>
    <t>Inverted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</si>
</sst>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104775</xdr:rowOff>
    </xdr:from>
    <xdr:to>
      <xdr:col>11</xdr:col>
      <xdr:colOff>314325</xdr:colOff>
      <xdr:row>29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81715F-FA84-4C7C-8262-EB02E2688754}"/>
            </a:ext>
          </a:extLst>
        </xdr:cNvPr>
        <xdr:cNvSpPr txBox="1"/>
      </xdr:nvSpPr>
      <xdr:spPr>
        <a:xfrm>
          <a:off x="400050" y="104775"/>
          <a:ext cx="6619875" cy="556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Critical Notes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All</a:t>
          </a:r>
          <a:r>
            <a:rPr lang="en-US" sz="1100" b="0" baseline="0"/>
            <a:t> input signals from 1100-1500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REVERSE direction for the          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input signals from 1500-1900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FORWARD direction for the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This data represents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Bollard thrust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thruster in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static conditions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water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inlet velocity of zero.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All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testing is carried out with the Blue Robotics Basic ESC R3, running the stock firmware settings and version 16.6 of BlHeli_S.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results are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dependent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the ESC model and firmware settings, they may vary slightly with other brushless ESCs.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single standard T200 (manufactured August 2019) and Basic ESC R3 are used for all the following tests.</a:t>
          </a:r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ESC/thruster are powered by a Magna-Power XR series power supply, with voltage remote sense probes located at the ESC power input on the PCB to eliminate voltage drop between the power supply and ESC.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ESC is connected to the thruster via soldered pairs of 4 mm bullet connectors on each phase, with the thruster cable being the retail standard 1 m long 18 AWG configuration.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Longer cables will introduce more voltage drop and affect performance.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Voltage and current draw data was read directly from the power supply over serial, with the force measured by a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Specialties FC2231-0000-0050-L force sensor. RPM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measured with an Eagle Tree Systems Brushless Motor RPM Sensor V2 accross 2 phases.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RPM is a resultant of the given the load on the thruster by the propeller/input voltage at static conditions; the Basic ESC is an open loop control system.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direct relationship between ESC PWM input and RPM.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Power draw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efficiency are calculated based on the above data.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/>
        </a:p>
      </xdr:txBody>
    </xdr:sp>
    <xdr:clientData/>
  </xdr:twoCellAnchor>
  <xdr:twoCellAnchor>
    <xdr:from>
      <xdr:col>11</xdr:col>
      <xdr:colOff>495300</xdr:colOff>
      <xdr:row>0</xdr:row>
      <xdr:rowOff>95249</xdr:rowOff>
    </xdr:from>
    <xdr:to>
      <xdr:col>22</xdr:col>
      <xdr:colOff>409575</xdr:colOff>
      <xdr:row>29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110206-4373-4A93-922E-D1EE034FE1A2}"/>
            </a:ext>
          </a:extLst>
        </xdr:cNvPr>
        <xdr:cNvSpPr txBox="1"/>
      </xdr:nvSpPr>
      <xdr:spPr>
        <a:xfrm>
          <a:off x="7200900" y="95249"/>
          <a:ext cx="6619875" cy="5562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Testing Methodology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Using a Blue Robotics testing program, the test is initialized at each voltage</a:t>
          </a:r>
          <a:r>
            <a:rPr lang="en-US" sz="1100" b="0" baseline="0"/>
            <a:t> to command the ESC to run the thruster at steps of 4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from neutral to full throttle.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jumps immediately from neutral to the input value, and runs for 1.5 seconds with no data collection. This eliminates startup transients.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thruster continues to run for 2 more seconds, with data being collected at 10hz for a total of 20 data points. The short collection time is necessary to reduce the effect of circulating water in the tank making inlet velocity non-zero, and thus breaking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resulting data points are then averaged to generate a final set of values for the thruster at that throttle input level.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then rests for 30 seconds to allow the water in the test tank to come to a rest and re-establish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the final full throttle input value is achieved, the previous procedure is repeated 5 times for the full throttle input with all the data averaged. This is an attempt to make the stated full throttle values as fair as possible.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organizing the collected data, all values below 300 RPM are dropped to zero, as rotation below this value is not consistent and results in jerky motion and non-constant thrust, power draw, etc.</a:t>
          </a:r>
          <a:endParaRPr lang="en-US" sz="1100" b="0"/>
        </a:p>
      </xdr:txBody>
    </xdr:sp>
    <xdr:clientData/>
  </xdr:twoCellAnchor>
  <xdr:twoCellAnchor>
    <xdr:from>
      <xdr:col>8</xdr:col>
      <xdr:colOff>352424</xdr:colOff>
      <xdr:row>30</xdr:row>
      <xdr:rowOff>104776</xdr:rowOff>
    </xdr:from>
    <xdr:to>
      <xdr:col>14</xdr:col>
      <xdr:colOff>533399</xdr:colOff>
      <xdr:row>33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6F0A17-41EE-4D3C-8EE9-105EF8584213}"/>
            </a:ext>
          </a:extLst>
        </xdr:cNvPr>
        <xdr:cNvSpPr txBox="1"/>
      </xdr:nvSpPr>
      <xdr:spPr>
        <a:xfrm>
          <a:off x="5229224" y="5819776"/>
          <a:ext cx="38385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have any questions about the test setup or data collected, please contact </a:t>
          </a:r>
          <a:r>
            <a:rPr lang="en-US" sz="1100" u="sng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support@bluerobotics.com</a:t>
          </a:r>
          <a:endParaRPr lang="en-US" u="sng">
            <a:solidFill>
              <a:schemeClr val="accent1"/>
            </a:solidFill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F47-2B87-4DEC-965A-D3E259290B67}">
  <dimension ref="A1"/>
  <sheetViews>
    <sheetView workbookViewId="0">
      <selection activeCell="X22" sqref="X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1871-BBFA-4299-AD6F-7487FF3B1297}">
  <dimension ref="A1:H202"/>
  <sheetViews>
    <sheetView workbookViewId="0">
      <selection activeCell="H2" sqref="H2:H202"/>
    </sheetView>
  </sheetViews>
  <sheetFormatPr defaultRowHeight="15" x14ac:dyDescent="0.25"/>
  <cols>
    <col min="1" max="1" width="9.7109375" customWidth="1"/>
    <col min="3" max="3" width="11.28515625" customWidth="1"/>
    <col min="4" max="4" width="11" customWidth="1"/>
    <col min="5" max="5" width="10.4257812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1100</v>
      </c>
      <c r="B2" s="2">
        <v>2662.1200000000003</v>
      </c>
      <c r="C2" s="1">
        <v>13.616666666666665</v>
      </c>
      <c r="D2">
        <v>10</v>
      </c>
      <c r="E2" s="3">
        <v>136.16666666666666</v>
      </c>
      <c r="F2" s="1">
        <v>-2.3095392666666661</v>
      </c>
      <c r="G2" s="3">
        <v>16.961251259154725</v>
      </c>
      <c r="H2" s="1">
        <f>F2*9.81</f>
        <v>-22.656580205999994</v>
      </c>
    </row>
    <row r="3" spans="1:8" x14ac:dyDescent="0.25">
      <c r="A3">
        <v>1104</v>
      </c>
      <c r="B3" s="2">
        <v>2666.99</v>
      </c>
      <c r="C3">
        <v>13.63</v>
      </c>
      <c r="D3">
        <v>10</v>
      </c>
      <c r="E3">
        <f t="shared" ref="E3:E34" si="0">D3*C3</f>
        <v>136.30000000000001</v>
      </c>
      <c r="F3" s="1">
        <v>-2.3042473600000002</v>
      </c>
      <c r="G3" s="3">
        <v>16.905703301540715</v>
      </c>
      <c r="H3" s="1">
        <f t="shared" ref="H3:H66" si="1">F3*9.81</f>
        <v>-22.604666601600002</v>
      </c>
    </row>
    <row r="4" spans="1:8" x14ac:dyDescent="0.25">
      <c r="A4">
        <v>1108</v>
      </c>
      <c r="B4" s="2">
        <v>2660.54</v>
      </c>
      <c r="C4">
        <v>13.45</v>
      </c>
      <c r="D4">
        <v>10</v>
      </c>
      <c r="E4">
        <f t="shared" si="0"/>
        <v>134.5</v>
      </c>
      <c r="F4" s="1">
        <v>-2.2951755199999999</v>
      </c>
      <c r="G4" s="3">
        <v>17.064502007434942</v>
      </c>
      <c r="H4" s="1">
        <f t="shared" si="1"/>
        <v>-22.5156718512</v>
      </c>
    </row>
    <row r="5" spans="1:8" x14ac:dyDescent="0.25">
      <c r="A5">
        <v>1112</v>
      </c>
      <c r="B5" s="2">
        <v>2626.69</v>
      </c>
      <c r="C5">
        <v>13.2</v>
      </c>
      <c r="D5">
        <v>10</v>
      </c>
      <c r="E5">
        <f t="shared" si="0"/>
        <v>132</v>
      </c>
      <c r="F5" s="1">
        <v>-2.2815677600000002</v>
      </c>
      <c r="G5" s="3">
        <v>17.284604242424241</v>
      </c>
      <c r="H5" s="1">
        <f t="shared" si="1"/>
        <v>-22.382179725600004</v>
      </c>
    </row>
    <row r="6" spans="1:8" x14ac:dyDescent="0.25">
      <c r="A6">
        <v>1116</v>
      </c>
      <c r="B6" s="2">
        <v>2617.2199999999998</v>
      </c>
      <c r="C6">
        <v>12.81</v>
      </c>
      <c r="D6">
        <v>10</v>
      </c>
      <c r="E6">
        <f t="shared" si="0"/>
        <v>128.1</v>
      </c>
      <c r="F6" s="1">
        <v>-2.2226007999999999</v>
      </c>
      <c r="G6" s="3">
        <v>17.350513661202189</v>
      </c>
      <c r="H6" s="1">
        <f t="shared" si="1"/>
        <v>-21.803713848000001</v>
      </c>
    </row>
    <row r="7" spans="1:8" x14ac:dyDescent="0.25">
      <c r="A7">
        <v>1120</v>
      </c>
      <c r="B7" s="2">
        <v>2599.83</v>
      </c>
      <c r="C7">
        <v>12.5</v>
      </c>
      <c r="D7">
        <v>10</v>
      </c>
      <c r="E7">
        <f t="shared" si="0"/>
        <v>125</v>
      </c>
      <c r="F7" s="1">
        <v>-2.1817775199999998</v>
      </c>
      <c r="G7" s="3">
        <v>17.454220159999998</v>
      </c>
      <c r="H7" s="1">
        <f t="shared" si="1"/>
        <v>-21.403237471200001</v>
      </c>
    </row>
    <row r="8" spans="1:8" x14ac:dyDescent="0.25">
      <c r="A8">
        <v>1124</v>
      </c>
      <c r="B8" s="2">
        <v>2590</v>
      </c>
      <c r="C8">
        <v>12.14</v>
      </c>
      <c r="D8">
        <v>10</v>
      </c>
      <c r="E8">
        <f t="shared" si="0"/>
        <v>121.4</v>
      </c>
      <c r="F8" s="1">
        <v>-2.1636338399999997</v>
      </c>
      <c r="G8" s="3">
        <v>17.822354530477753</v>
      </c>
      <c r="H8" s="1">
        <f t="shared" si="1"/>
        <v>-21.225247970399998</v>
      </c>
    </row>
    <row r="9" spans="1:8" x14ac:dyDescent="0.25">
      <c r="A9">
        <v>1128</v>
      </c>
      <c r="B9" s="2">
        <v>2562.2399999999998</v>
      </c>
      <c r="C9">
        <v>11.96</v>
      </c>
      <c r="D9">
        <v>10</v>
      </c>
      <c r="E9">
        <f t="shared" si="0"/>
        <v>119.60000000000001</v>
      </c>
      <c r="F9" s="1">
        <v>-2.1318823999999998</v>
      </c>
      <c r="G9" s="3">
        <v>17.825103678929764</v>
      </c>
      <c r="H9" s="1">
        <f t="shared" si="1"/>
        <v>-20.913766343999999</v>
      </c>
    </row>
    <row r="10" spans="1:8" x14ac:dyDescent="0.25">
      <c r="A10">
        <v>1132</v>
      </c>
      <c r="B10" s="2">
        <v>2535.12</v>
      </c>
      <c r="C10">
        <v>11.63</v>
      </c>
      <c r="D10">
        <v>10</v>
      </c>
      <c r="E10">
        <f t="shared" si="0"/>
        <v>116.30000000000001</v>
      </c>
      <c r="F10" s="1">
        <v>-2.1092028000000003</v>
      </c>
      <c r="G10" s="3">
        <v>18.135879621668099</v>
      </c>
      <c r="H10" s="1">
        <f t="shared" si="1"/>
        <v>-20.691279468000005</v>
      </c>
    </row>
    <row r="11" spans="1:8" x14ac:dyDescent="0.25">
      <c r="A11">
        <v>1136</v>
      </c>
      <c r="B11" s="2">
        <v>2528.12</v>
      </c>
      <c r="C11">
        <v>11.32</v>
      </c>
      <c r="D11">
        <v>10</v>
      </c>
      <c r="E11">
        <f t="shared" si="0"/>
        <v>113.2</v>
      </c>
      <c r="F11" s="1">
        <v>-2.0547717599999999</v>
      </c>
      <c r="G11" s="3">
        <v>18.151693992932863</v>
      </c>
      <c r="H11" s="1">
        <f t="shared" si="1"/>
        <v>-20.157310965600001</v>
      </c>
    </row>
    <row r="12" spans="1:8" x14ac:dyDescent="0.25">
      <c r="A12">
        <v>1140</v>
      </c>
      <c r="B12" s="2">
        <v>2513.71</v>
      </c>
      <c r="C12">
        <v>11</v>
      </c>
      <c r="D12">
        <v>10</v>
      </c>
      <c r="E12">
        <f t="shared" si="0"/>
        <v>110</v>
      </c>
      <c r="F12" s="1">
        <v>-2.0411640000000002</v>
      </c>
      <c r="G12" s="3">
        <v>18.556036363636363</v>
      </c>
      <c r="H12" s="1">
        <f t="shared" si="1"/>
        <v>-20.023818840000004</v>
      </c>
    </row>
    <row r="13" spans="1:8" x14ac:dyDescent="0.25">
      <c r="A13">
        <v>1144</v>
      </c>
      <c r="B13" s="2">
        <v>2484.17</v>
      </c>
      <c r="C13">
        <v>10.8</v>
      </c>
      <c r="D13">
        <v>10</v>
      </c>
      <c r="E13">
        <f t="shared" si="0"/>
        <v>108</v>
      </c>
      <c r="F13" s="1">
        <v>-1.9867329599999999</v>
      </c>
      <c r="G13" s="3">
        <v>18.395675555555552</v>
      </c>
      <c r="H13" s="1">
        <f t="shared" si="1"/>
        <v>-19.4898503376</v>
      </c>
    </row>
    <row r="14" spans="1:8" x14ac:dyDescent="0.25">
      <c r="A14">
        <v>1148</v>
      </c>
      <c r="B14" s="2">
        <v>2471.7199999999998</v>
      </c>
      <c r="C14">
        <v>10.45</v>
      </c>
      <c r="D14">
        <v>10</v>
      </c>
      <c r="E14">
        <f t="shared" si="0"/>
        <v>104.5</v>
      </c>
      <c r="F14" s="1">
        <v>-1.9549815199999998</v>
      </c>
      <c r="G14" s="3">
        <v>18.7079571291866</v>
      </c>
      <c r="H14" s="1">
        <f t="shared" si="1"/>
        <v>-19.178368711199997</v>
      </c>
    </row>
    <row r="15" spans="1:8" x14ac:dyDescent="0.25">
      <c r="A15">
        <v>1152</v>
      </c>
      <c r="B15" s="2">
        <v>2448.7600000000002</v>
      </c>
      <c r="C15">
        <v>10.199999999999999</v>
      </c>
      <c r="D15">
        <v>10</v>
      </c>
      <c r="E15">
        <f t="shared" si="0"/>
        <v>102</v>
      </c>
      <c r="F15" s="1">
        <v>-1.9277660000000001</v>
      </c>
      <c r="G15" s="3">
        <v>18.899666666666665</v>
      </c>
      <c r="H15" s="1">
        <f t="shared" si="1"/>
        <v>-18.911384460000001</v>
      </c>
    </row>
    <row r="16" spans="1:8" x14ac:dyDescent="0.25">
      <c r="A16">
        <v>1156</v>
      </c>
      <c r="B16" s="2">
        <v>2435.7600000000002</v>
      </c>
      <c r="C16">
        <v>9.9</v>
      </c>
      <c r="D16">
        <v>10</v>
      </c>
      <c r="E16">
        <f t="shared" si="0"/>
        <v>99</v>
      </c>
      <c r="F16" s="1">
        <v>-1.8914786399999999</v>
      </c>
      <c r="G16" s="3">
        <v>19.105844848484846</v>
      </c>
      <c r="H16" s="1">
        <f t="shared" si="1"/>
        <v>-18.555405458399999</v>
      </c>
    </row>
    <row r="17" spans="1:8" x14ac:dyDescent="0.25">
      <c r="A17">
        <v>1160</v>
      </c>
      <c r="B17" s="2">
        <v>2416.2600000000002</v>
      </c>
      <c r="C17">
        <v>9.56</v>
      </c>
      <c r="D17">
        <v>10</v>
      </c>
      <c r="E17">
        <f t="shared" si="0"/>
        <v>95.600000000000009</v>
      </c>
      <c r="F17" s="1">
        <v>-1.8370476</v>
      </c>
      <c r="G17" s="3">
        <v>19.215979079497906</v>
      </c>
      <c r="H17" s="1">
        <f t="shared" si="1"/>
        <v>-18.021436956000002</v>
      </c>
    </row>
    <row r="18" spans="1:8" x14ac:dyDescent="0.25">
      <c r="A18">
        <v>1164</v>
      </c>
      <c r="B18" s="2">
        <v>2395.29</v>
      </c>
      <c r="C18">
        <v>9.2899999999999991</v>
      </c>
      <c r="D18">
        <v>10</v>
      </c>
      <c r="E18">
        <f t="shared" si="0"/>
        <v>92.899999999999991</v>
      </c>
      <c r="F18" s="1">
        <v>-1.8098320800000001</v>
      </c>
      <c r="G18" s="3">
        <v>19.481507857911737</v>
      </c>
      <c r="H18" s="1">
        <f t="shared" si="1"/>
        <v>-17.754452704800002</v>
      </c>
    </row>
    <row r="19" spans="1:8" x14ac:dyDescent="0.25">
      <c r="A19">
        <v>1168</v>
      </c>
      <c r="B19" s="2">
        <v>2370.8200000000002</v>
      </c>
      <c r="C19">
        <v>9.1</v>
      </c>
      <c r="D19">
        <v>10</v>
      </c>
      <c r="E19">
        <f t="shared" si="0"/>
        <v>91</v>
      </c>
      <c r="F19" s="1">
        <v>-1.7916884</v>
      </c>
      <c r="G19" s="3">
        <v>19.688883516483518</v>
      </c>
      <c r="H19" s="1">
        <f t="shared" si="1"/>
        <v>-17.576463204</v>
      </c>
    </row>
    <row r="20" spans="1:8" x14ac:dyDescent="0.25">
      <c r="A20">
        <v>1172</v>
      </c>
      <c r="B20" s="2">
        <v>2344.27</v>
      </c>
      <c r="C20">
        <v>8.8000000000000007</v>
      </c>
      <c r="D20">
        <v>10</v>
      </c>
      <c r="E20">
        <f t="shared" si="0"/>
        <v>88</v>
      </c>
      <c r="F20" s="1">
        <v>-1.75540104</v>
      </c>
      <c r="G20" s="3">
        <v>19.947739090909092</v>
      </c>
      <c r="H20" s="1">
        <f t="shared" si="1"/>
        <v>-17.220484202400002</v>
      </c>
    </row>
    <row r="21" spans="1:8" x14ac:dyDescent="0.25">
      <c r="A21">
        <v>1176</v>
      </c>
      <c r="B21" s="2">
        <v>2332.12</v>
      </c>
      <c r="C21">
        <v>8.5</v>
      </c>
      <c r="D21">
        <v>10</v>
      </c>
      <c r="E21">
        <f t="shared" si="0"/>
        <v>85</v>
      </c>
      <c r="F21" s="1">
        <v>-1.7145777599999998</v>
      </c>
      <c r="G21" s="3">
        <v>20.171503058823529</v>
      </c>
      <c r="H21" s="1">
        <f t="shared" si="1"/>
        <v>-16.820007825599998</v>
      </c>
    </row>
    <row r="22" spans="1:8" x14ac:dyDescent="0.25">
      <c r="A22">
        <v>1180</v>
      </c>
      <c r="B22" s="2">
        <v>2305.96</v>
      </c>
      <c r="C22">
        <v>8.3000000000000007</v>
      </c>
      <c r="D22">
        <v>10</v>
      </c>
      <c r="E22">
        <f t="shared" si="0"/>
        <v>83</v>
      </c>
      <c r="F22" s="1">
        <v>-1.68282632</v>
      </c>
      <c r="G22" s="3">
        <v>20.275015903614456</v>
      </c>
      <c r="H22" s="1">
        <f t="shared" si="1"/>
        <v>-16.508526199200002</v>
      </c>
    </row>
    <row r="23" spans="1:8" x14ac:dyDescent="0.25">
      <c r="A23">
        <v>1184</v>
      </c>
      <c r="B23" s="2">
        <v>2282.5500000000002</v>
      </c>
      <c r="C23">
        <v>8.0500000000000007</v>
      </c>
      <c r="D23">
        <v>10</v>
      </c>
      <c r="E23">
        <f t="shared" si="0"/>
        <v>80.5</v>
      </c>
      <c r="F23" s="1">
        <v>-1.6510748800000001</v>
      </c>
      <c r="G23" s="3">
        <v>20.510246956521737</v>
      </c>
      <c r="H23" s="1">
        <f t="shared" si="1"/>
        <v>-16.197044572800003</v>
      </c>
    </row>
    <row r="24" spans="1:8" x14ac:dyDescent="0.25">
      <c r="A24">
        <v>1188</v>
      </c>
      <c r="B24" s="2">
        <v>2271.04</v>
      </c>
      <c r="C24">
        <v>7.71</v>
      </c>
      <c r="D24">
        <v>10</v>
      </c>
      <c r="E24">
        <f t="shared" si="0"/>
        <v>77.099999999999994</v>
      </c>
      <c r="F24" s="1">
        <v>-1.6193234399999998</v>
      </c>
      <c r="G24" s="3">
        <v>21.002898054474709</v>
      </c>
      <c r="H24" s="1">
        <f t="shared" si="1"/>
        <v>-15.885562946399999</v>
      </c>
    </row>
    <row r="25" spans="1:8" x14ac:dyDescent="0.25">
      <c r="A25">
        <v>1192</v>
      </c>
      <c r="B25" s="2">
        <v>2241.4</v>
      </c>
      <c r="C25">
        <v>7.57</v>
      </c>
      <c r="D25">
        <v>10</v>
      </c>
      <c r="E25">
        <f t="shared" si="0"/>
        <v>75.7</v>
      </c>
      <c r="F25" s="1">
        <v>-1.5921079199999999</v>
      </c>
      <c r="G25" s="3">
        <v>21.031808718626156</v>
      </c>
      <c r="H25" s="1">
        <f t="shared" si="1"/>
        <v>-15.6185786952</v>
      </c>
    </row>
    <row r="26" spans="1:8" x14ac:dyDescent="0.25">
      <c r="A26">
        <v>1196</v>
      </c>
      <c r="B26" s="2">
        <v>2219.44</v>
      </c>
      <c r="C26">
        <v>7.3</v>
      </c>
      <c r="D26">
        <v>10</v>
      </c>
      <c r="E26">
        <f t="shared" si="0"/>
        <v>73</v>
      </c>
      <c r="F26" s="1">
        <v>-1.5558205600000001</v>
      </c>
      <c r="G26" s="3">
        <v>21.312610410958907</v>
      </c>
      <c r="H26" s="1">
        <f t="shared" si="1"/>
        <v>-15.262599693600002</v>
      </c>
    </row>
    <row r="27" spans="1:8" x14ac:dyDescent="0.25">
      <c r="A27">
        <v>1200</v>
      </c>
      <c r="B27" s="2">
        <v>2198.37</v>
      </c>
      <c r="C27">
        <v>7.1</v>
      </c>
      <c r="D27">
        <v>10</v>
      </c>
      <c r="E27">
        <f t="shared" si="0"/>
        <v>71</v>
      </c>
      <c r="F27" s="1">
        <v>-1.53767688</v>
      </c>
      <c r="G27" s="3">
        <v>21.657420845070423</v>
      </c>
      <c r="H27" s="1">
        <f t="shared" si="1"/>
        <v>-15.084610192800001</v>
      </c>
    </row>
    <row r="28" spans="1:8" x14ac:dyDescent="0.25">
      <c r="A28">
        <v>1204</v>
      </c>
      <c r="B28" s="2">
        <v>2176.5700000000002</v>
      </c>
      <c r="C28">
        <v>6.82</v>
      </c>
      <c r="D28">
        <v>10</v>
      </c>
      <c r="E28">
        <f t="shared" si="0"/>
        <v>68.2</v>
      </c>
      <c r="F28" s="1">
        <v>-1.50138952</v>
      </c>
      <c r="G28" s="3">
        <v>22.01450909090909</v>
      </c>
      <c r="H28" s="1">
        <f t="shared" si="1"/>
        <v>-14.728631191200002</v>
      </c>
    </row>
    <row r="29" spans="1:8" x14ac:dyDescent="0.25">
      <c r="A29">
        <v>1208</v>
      </c>
      <c r="B29" s="2">
        <v>2156.65</v>
      </c>
      <c r="C29">
        <v>6.6</v>
      </c>
      <c r="D29">
        <v>10</v>
      </c>
      <c r="E29">
        <f t="shared" si="0"/>
        <v>66</v>
      </c>
      <c r="F29" s="1">
        <v>-1.4696380800000002</v>
      </c>
      <c r="G29" s="3">
        <v>22.267243636363634</v>
      </c>
      <c r="H29" s="1">
        <f t="shared" si="1"/>
        <v>-14.417149564800003</v>
      </c>
    </row>
    <row r="30" spans="1:8" x14ac:dyDescent="0.25">
      <c r="A30">
        <v>1212</v>
      </c>
      <c r="B30" s="2">
        <v>2128.5</v>
      </c>
      <c r="C30">
        <v>6.48</v>
      </c>
      <c r="D30">
        <v>10</v>
      </c>
      <c r="E30">
        <f t="shared" si="0"/>
        <v>64.800000000000011</v>
      </c>
      <c r="F30" s="1">
        <v>-1.44242256</v>
      </c>
      <c r="G30" s="3">
        <v>22.259607407407405</v>
      </c>
      <c r="H30" s="1">
        <f t="shared" si="1"/>
        <v>-14.150165313600001</v>
      </c>
    </row>
    <row r="31" spans="1:8" x14ac:dyDescent="0.25">
      <c r="A31">
        <v>1216</v>
      </c>
      <c r="B31" s="2">
        <v>2106.08</v>
      </c>
      <c r="C31">
        <v>6.2</v>
      </c>
      <c r="D31">
        <v>10</v>
      </c>
      <c r="E31">
        <f t="shared" si="0"/>
        <v>62</v>
      </c>
      <c r="F31" s="1">
        <v>-1.4106711199999999</v>
      </c>
      <c r="G31" s="3">
        <v>22.752759999999999</v>
      </c>
      <c r="H31" s="1">
        <f t="shared" si="1"/>
        <v>-13.8386836872</v>
      </c>
    </row>
    <row r="32" spans="1:8" x14ac:dyDescent="0.25">
      <c r="A32">
        <v>1220</v>
      </c>
      <c r="B32" s="2">
        <v>2093.85</v>
      </c>
      <c r="C32">
        <v>6</v>
      </c>
      <c r="D32">
        <v>10</v>
      </c>
      <c r="E32">
        <f t="shared" si="0"/>
        <v>60</v>
      </c>
      <c r="F32" s="1">
        <v>-1.360776</v>
      </c>
      <c r="G32" s="3">
        <v>22.679599999999997</v>
      </c>
      <c r="H32" s="1">
        <f t="shared" si="1"/>
        <v>-13.34921256</v>
      </c>
    </row>
    <row r="33" spans="1:8" x14ac:dyDescent="0.25">
      <c r="A33">
        <v>1224</v>
      </c>
      <c r="B33" s="2">
        <v>2072.61</v>
      </c>
      <c r="C33">
        <v>5.8</v>
      </c>
      <c r="D33">
        <v>10</v>
      </c>
      <c r="E33">
        <f t="shared" si="0"/>
        <v>58</v>
      </c>
      <c r="F33" s="1">
        <v>-1.3290245600000001</v>
      </c>
      <c r="G33" s="3">
        <v>22.914216551724138</v>
      </c>
      <c r="H33" s="1">
        <f t="shared" si="1"/>
        <v>-13.037730933600002</v>
      </c>
    </row>
    <row r="34" spans="1:8" x14ac:dyDescent="0.25">
      <c r="A34">
        <v>1228</v>
      </c>
      <c r="B34" s="2">
        <v>2045.76</v>
      </c>
      <c r="C34">
        <v>5.6</v>
      </c>
      <c r="D34">
        <v>10</v>
      </c>
      <c r="E34">
        <f t="shared" si="0"/>
        <v>56</v>
      </c>
      <c r="F34" s="1">
        <v>-1.3199527200000001</v>
      </c>
      <c r="G34" s="3">
        <v>23.570584285714286</v>
      </c>
      <c r="H34" s="1">
        <f t="shared" si="1"/>
        <v>-12.948736183200001</v>
      </c>
    </row>
    <row r="35" spans="1:8" x14ac:dyDescent="0.25">
      <c r="A35">
        <v>1232</v>
      </c>
      <c r="B35" s="2">
        <v>2023.95</v>
      </c>
      <c r="C35">
        <v>5.4</v>
      </c>
      <c r="D35">
        <v>10</v>
      </c>
      <c r="E35">
        <f t="shared" ref="E35:E66" si="2">D35*C35</f>
        <v>54</v>
      </c>
      <c r="F35" s="1">
        <v>-1.28820128</v>
      </c>
      <c r="G35" s="3">
        <v>23.855579259259258</v>
      </c>
      <c r="H35" s="1">
        <f t="shared" si="1"/>
        <v>-12.6372545568</v>
      </c>
    </row>
    <row r="36" spans="1:8" x14ac:dyDescent="0.25">
      <c r="A36">
        <v>1236</v>
      </c>
      <c r="B36" s="2">
        <v>2005.05</v>
      </c>
      <c r="C36">
        <v>5.2</v>
      </c>
      <c r="D36">
        <v>10</v>
      </c>
      <c r="E36">
        <f t="shared" si="2"/>
        <v>52</v>
      </c>
      <c r="F36" s="1">
        <v>-1.2564498399999999</v>
      </c>
      <c r="G36" s="3">
        <v>24.162496923076922</v>
      </c>
      <c r="H36" s="1">
        <f t="shared" si="1"/>
        <v>-12.325772930399999</v>
      </c>
    </row>
    <row r="37" spans="1:8" x14ac:dyDescent="0.25">
      <c r="A37">
        <v>1240</v>
      </c>
      <c r="B37" s="2">
        <v>1982.4</v>
      </c>
      <c r="C37">
        <v>5</v>
      </c>
      <c r="D37">
        <v>10</v>
      </c>
      <c r="E37">
        <f t="shared" si="2"/>
        <v>50</v>
      </c>
      <c r="F37" s="1">
        <v>-1.2201624799999999</v>
      </c>
      <c r="G37" s="3">
        <v>24.403249599999999</v>
      </c>
      <c r="H37" s="1">
        <f t="shared" si="1"/>
        <v>-11.9697939288</v>
      </c>
    </row>
    <row r="38" spans="1:8" x14ac:dyDescent="0.25">
      <c r="A38">
        <v>1244</v>
      </c>
      <c r="B38" s="2">
        <v>1956.82</v>
      </c>
      <c r="C38">
        <v>4.84</v>
      </c>
      <c r="D38">
        <v>10</v>
      </c>
      <c r="E38">
        <f t="shared" si="2"/>
        <v>48.4</v>
      </c>
      <c r="F38" s="1">
        <v>-1.1884110400000001</v>
      </c>
      <c r="G38" s="3">
        <v>24.553947107438017</v>
      </c>
      <c r="H38" s="1">
        <f t="shared" si="1"/>
        <v>-11.658312302400001</v>
      </c>
    </row>
    <row r="39" spans="1:8" x14ac:dyDescent="0.25">
      <c r="A39">
        <v>1248</v>
      </c>
      <c r="B39" s="2">
        <v>1936.33</v>
      </c>
      <c r="C39">
        <v>4.6399999999999997</v>
      </c>
      <c r="D39">
        <v>10</v>
      </c>
      <c r="E39">
        <f t="shared" si="2"/>
        <v>46.4</v>
      </c>
      <c r="F39" s="1">
        <v>-1.1657314399999998</v>
      </c>
      <c r="G39" s="3">
        <v>25.123522413793101</v>
      </c>
      <c r="H39" s="1">
        <f t="shared" si="1"/>
        <v>-11.435825426399999</v>
      </c>
    </row>
    <row r="40" spans="1:8" x14ac:dyDescent="0.25">
      <c r="A40">
        <v>1252</v>
      </c>
      <c r="B40" s="2">
        <v>1906.73</v>
      </c>
      <c r="C40">
        <v>4.5</v>
      </c>
      <c r="D40">
        <v>10</v>
      </c>
      <c r="E40">
        <f t="shared" si="2"/>
        <v>45</v>
      </c>
      <c r="F40" s="1">
        <v>-1.1385159199999999</v>
      </c>
      <c r="G40" s="3">
        <v>25.300353777777772</v>
      </c>
      <c r="H40" s="1">
        <f t="shared" si="1"/>
        <v>-11.168841175199999</v>
      </c>
    </row>
    <row r="41" spans="1:8" x14ac:dyDescent="0.25">
      <c r="A41">
        <v>1256</v>
      </c>
      <c r="B41" s="2">
        <v>1884.84</v>
      </c>
      <c r="C41">
        <v>4.3</v>
      </c>
      <c r="D41">
        <v>10</v>
      </c>
      <c r="E41">
        <f t="shared" si="2"/>
        <v>43</v>
      </c>
      <c r="F41" s="1">
        <v>-1.09769264</v>
      </c>
      <c r="G41" s="3">
        <v>25.527735813953488</v>
      </c>
      <c r="H41" s="1">
        <f t="shared" si="1"/>
        <v>-10.7683647984</v>
      </c>
    </row>
    <row r="42" spans="1:8" x14ac:dyDescent="0.25">
      <c r="A42">
        <v>1260</v>
      </c>
      <c r="B42" s="2">
        <v>1863.52</v>
      </c>
      <c r="C42">
        <v>4.0999999999999996</v>
      </c>
      <c r="D42">
        <v>10</v>
      </c>
      <c r="E42">
        <f t="shared" si="2"/>
        <v>41</v>
      </c>
      <c r="F42" s="1">
        <v>-1.07501304</v>
      </c>
      <c r="G42" s="3">
        <v>26.21983024390244</v>
      </c>
      <c r="H42" s="1">
        <f t="shared" si="1"/>
        <v>-10.545877922400001</v>
      </c>
    </row>
    <row r="43" spans="1:8" x14ac:dyDescent="0.25">
      <c r="A43">
        <v>1264</v>
      </c>
      <c r="B43" s="2">
        <v>1833.91</v>
      </c>
      <c r="C43">
        <v>3.9</v>
      </c>
      <c r="D43">
        <v>10</v>
      </c>
      <c r="E43">
        <f t="shared" si="2"/>
        <v>39</v>
      </c>
      <c r="F43" s="1">
        <v>-1.0568693600000001</v>
      </c>
      <c r="G43" s="3">
        <v>27.099214358974358</v>
      </c>
      <c r="H43" s="1">
        <f t="shared" si="1"/>
        <v>-10.367888421600002</v>
      </c>
    </row>
    <row r="44" spans="1:8" x14ac:dyDescent="0.25">
      <c r="A44">
        <v>1268</v>
      </c>
      <c r="B44" s="2">
        <v>1816.36</v>
      </c>
      <c r="C44">
        <v>3.73</v>
      </c>
      <c r="D44">
        <v>10</v>
      </c>
      <c r="E44">
        <f t="shared" si="2"/>
        <v>37.299999999999997</v>
      </c>
      <c r="F44" s="1">
        <v>-1.0160460800000002</v>
      </c>
      <c r="G44" s="3">
        <v>27.239841286863275</v>
      </c>
      <c r="H44" s="1">
        <f t="shared" si="1"/>
        <v>-9.9674120448000032</v>
      </c>
    </row>
    <row r="45" spans="1:8" x14ac:dyDescent="0.25">
      <c r="A45">
        <v>1272</v>
      </c>
      <c r="B45" s="2">
        <v>1788.63</v>
      </c>
      <c r="C45">
        <v>3.6</v>
      </c>
      <c r="D45">
        <v>10</v>
      </c>
      <c r="E45">
        <f t="shared" si="2"/>
        <v>36</v>
      </c>
      <c r="F45" s="1">
        <v>-0.98883056000000003</v>
      </c>
      <c r="G45" s="3">
        <v>27.467515555555554</v>
      </c>
      <c r="H45" s="1">
        <f t="shared" si="1"/>
        <v>-9.7004277936000012</v>
      </c>
    </row>
    <row r="46" spans="1:8" x14ac:dyDescent="0.25">
      <c r="A46">
        <v>1276</v>
      </c>
      <c r="B46" s="2">
        <v>1762.3</v>
      </c>
      <c r="C46">
        <v>3.5</v>
      </c>
      <c r="D46">
        <v>10</v>
      </c>
      <c r="E46">
        <f t="shared" si="2"/>
        <v>35</v>
      </c>
      <c r="F46" s="1">
        <v>-0.97068688000000003</v>
      </c>
      <c r="G46" s="3">
        <v>27.733910857142856</v>
      </c>
      <c r="H46" s="1">
        <f t="shared" si="1"/>
        <v>-9.5224382928000004</v>
      </c>
    </row>
    <row r="47" spans="1:8" x14ac:dyDescent="0.25">
      <c r="A47">
        <v>1280</v>
      </c>
      <c r="B47" s="2">
        <v>1745.28</v>
      </c>
      <c r="C47">
        <v>3.3</v>
      </c>
      <c r="D47">
        <v>10</v>
      </c>
      <c r="E47">
        <f t="shared" si="2"/>
        <v>33</v>
      </c>
      <c r="F47" s="1">
        <v>-0.9298635999999999</v>
      </c>
      <c r="G47" s="3">
        <v>28.177684848484844</v>
      </c>
      <c r="H47" s="1">
        <f t="shared" si="1"/>
        <v>-9.1219619160000001</v>
      </c>
    </row>
    <row r="48" spans="1:8" x14ac:dyDescent="0.25">
      <c r="A48">
        <v>1284</v>
      </c>
      <c r="B48" s="2">
        <v>1716.98</v>
      </c>
      <c r="C48">
        <v>3.2</v>
      </c>
      <c r="D48">
        <v>10</v>
      </c>
      <c r="E48">
        <f t="shared" si="2"/>
        <v>32</v>
      </c>
      <c r="F48" s="1">
        <v>-0.90718399999999999</v>
      </c>
      <c r="G48" s="3">
        <v>28.349499999999999</v>
      </c>
      <c r="H48" s="1">
        <f t="shared" si="1"/>
        <v>-8.8994750400000004</v>
      </c>
    </row>
    <row r="49" spans="1:8" x14ac:dyDescent="0.25">
      <c r="A49">
        <v>1288</v>
      </c>
      <c r="B49" s="2">
        <v>1696.78</v>
      </c>
      <c r="C49">
        <v>3</v>
      </c>
      <c r="D49">
        <v>10</v>
      </c>
      <c r="E49">
        <f t="shared" si="2"/>
        <v>30</v>
      </c>
      <c r="F49" s="1">
        <v>-0.87996847999999994</v>
      </c>
      <c r="G49" s="3">
        <v>29.332282666666668</v>
      </c>
      <c r="H49" s="1">
        <f t="shared" si="1"/>
        <v>-8.6324907888000002</v>
      </c>
    </row>
    <row r="50" spans="1:8" x14ac:dyDescent="0.25">
      <c r="A50">
        <v>1292</v>
      </c>
      <c r="B50" s="2">
        <v>1670.82</v>
      </c>
      <c r="C50">
        <v>2.9</v>
      </c>
      <c r="D50">
        <v>10</v>
      </c>
      <c r="E50">
        <f t="shared" si="2"/>
        <v>29</v>
      </c>
      <c r="F50" s="1">
        <v>-0.85275295999999989</v>
      </c>
      <c r="G50" s="3">
        <v>29.405274482758617</v>
      </c>
      <c r="H50" s="1">
        <f t="shared" si="1"/>
        <v>-8.3655065376</v>
      </c>
    </row>
    <row r="51" spans="1:8" x14ac:dyDescent="0.25">
      <c r="A51">
        <v>1296</v>
      </c>
      <c r="B51" s="2">
        <v>1643.14</v>
      </c>
      <c r="C51">
        <v>2.8</v>
      </c>
      <c r="D51">
        <v>10</v>
      </c>
      <c r="E51">
        <f t="shared" si="2"/>
        <v>28</v>
      </c>
      <c r="F51" s="1">
        <v>-0.82553744000000007</v>
      </c>
      <c r="G51" s="3">
        <v>29.483479999999997</v>
      </c>
      <c r="H51" s="1">
        <f t="shared" si="1"/>
        <v>-8.0985222864000015</v>
      </c>
    </row>
    <row r="52" spans="1:8" x14ac:dyDescent="0.25">
      <c r="A52">
        <v>1300</v>
      </c>
      <c r="B52" s="2">
        <v>1615.06</v>
      </c>
      <c r="C52">
        <v>2.6</v>
      </c>
      <c r="D52">
        <v>10</v>
      </c>
      <c r="E52">
        <f t="shared" si="2"/>
        <v>26</v>
      </c>
      <c r="F52" s="1">
        <v>-0.79832192000000002</v>
      </c>
      <c r="G52" s="3">
        <v>30.70468923076923</v>
      </c>
      <c r="H52" s="1">
        <f t="shared" si="1"/>
        <v>-7.8315380352000004</v>
      </c>
    </row>
    <row r="53" spans="1:8" x14ac:dyDescent="0.25">
      <c r="A53">
        <v>1304</v>
      </c>
      <c r="B53" s="2">
        <v>1591.35</v>
      </c>
      <c r="C53">
        <v>2.4</v>
      </c>
      <c r="D53">
        <v>10</v>
      </c>
      <c r="E53">
        <f t="shared" si="2"/>
        <v>24</v>
      </c>
      <c r="F53" s="1">
        <v>-0.78017824000000002</v>
      </c>
      <c r="G53" s="3">
        <v>32.507426666666667</v>
      </c>
      <c r="H53" s="1">
        <f t="shared" si="1"/>
        <v>-7.6535485344000005</v>
      </c>
    </row>
    <row r="54" spans="1:8" x14ac:dyDescent="0.25">
      <c r="A54">
        <v>1308</v>
      </c>
      <c r="B54" s="2">
        <v>1562.13</v>
      </c>
      <c r="C54">
        <v>2.2999999999999998</v>
      </c>
      <c r="D54">
        <v>10</v>
      </c>
      <c r="E54">
        <f t="shared" si="2"/>
        <v>23</v>
      </c>
      <c r="F54" s="1">
        <v>-0.75296271999999997</v>
      </c>
      <c r="G54" s="3">
        <v>32.737509565217394</v>
      </c>
      <c r="H54" s="1">
        <f t="shared" si="1"/>
        <v>-7.3865642832000002</v>
      </c>
    </row>
    <row r="55" spans="1:8" x14ac:dyDescent="0.25">
      <c r="A55">
        <v>1312</v>
      </c>
      <c r="B55" s="2">
        <v>1539</v>
      </c>
      <c r="C55">
        <v>2.1</v>
      </c>
      <c r="D55">
        <v>10</v>
      </c>
      <c r="E55">
        <f t="shared" si="2"/>
        <v>21</v>
      </c>
      <c r="F55" s="1">
        <v>-0.72121128000000001</v>
      </c>
      <c r="G55" s="3">
        <v>34.343394285714282</v>
      </c>
      <c r="H55" s="1">
        <f t="shared" si="1"/>
        <v>-7.0750826568000003</v>
      </c>
    </row>
    <row r="56" spans="1:8" x14ac:dyDescent="0.25">
      <c r="A56">
        <v>1316</v>
      </c>
      <c r="B56" s="2">
        <v>1515.73</v>
      </c>
      <c r="C56">
        <v>2</v>
      </c>
      <c r="D56">
        <v>10</v>
      </c>
      <c r="E56">
        <f t="shared" si="2"/>
        <v>20</v>
      </c>
      <c r="F56" s="1">
        <v>-0.69853167999999999</v>
      </c>
      <c r="G56" s="3">
        <v>34.926583999999998</v>
      </c>
      <c r="H56" s="1">
        <f t="shared" si="1"/>
        <v>-6.8525957808000006</v>
      </c>
    </row>
    <row r="57" spans="1:8" x14ac:dyDescent="0.25">
      <c r="A57">
        <v>1320</v>
      </c>
      <c r="B57" s="2">
        <v>1487.76</v>
      </c>
      <c r="C57">
        <v>1.9</v>
      </c>
      <c r="D57">
        <v>10</v>
      </c>
      <c r="E57">
        <f t="shared" si="2"/>
        <v>19</v>
      </c>
      <c r="F57" s="1">
        <v>-0.67131615999999994</v>
      </c>
      <c r="G57" s="3">
        <v>35.332429473684208</v>
      </c>
      <c r="H57" s="1">
        <f t="shared" si="1"/>
        <v>-6.5856115295999995</v>
      </c>
    </row>
    <row r="58" spans="1:8" x14ac:dyDescent="0.25">
      <c r="A58">
        <v>1324</v>
      </c>
      <c r="B58" s="2">
        <v>1460.76</v>
      </c>
      <c r="C58">
        <v>1.8</v>
      </c>
      <c r="D58">
        <v>10</v>
      </c>
      <c r="E58">
        <f t="shared" si="2"/>
        <v>18</v>
      </c>
      <c r="F58" s="1">
        <v>-0.65317247999999994</v>
      </c>
      <c r="G58" s="3">
        <v>36.28736</v>
      </c>
      <c r="H58" s="1">
        <f t="shared" si="1"/>
        <v>-6.4076220287999996</v>
      </c>
    </row>
    <row r="59" spans="1:8" x14ac:dyDescent="0.25">
      <c r="A59">
        <v>1328</v>
      </c>
      <c r="B59" s="2">
        <v>1439.6</v>
      </c>
      <c r="C59">
        <v>1.7</v>
      </c>
      <c r="D59">
        <v>10</v>
      </c>
      <c r="E59">
        <f t="shared" si="2"/>
        <v>17</v>
      </c>
      <c r="F59" s="1">
        <v>-0.63049287999999992</v>
      </c>
      <c r="G59" s="3">
        <v>37.08781647058823</v>
      </c>
      <c r="H59" s="1">
        <f t="shared" si="1"/>
        <v>-6.1851351527999991</v>
      </c>
    </row>
    <row r="60" spans="1:8" x14ac:dyDescent="0.25">
      <c r="A60">
        <v>1332</v>
      </c>
      <c r="B60" s="2">
        <v>1411.47</v>
      </c>
      <c r="C60">
        <v>1.6</v>
      </c>
      <c r="D60">
        <v>10</v>
      </c>
      <c r="E60">
        <f t="shared" si="2"/>
        <v>16</v>
      </c>
      <c r="F60" s="1">
        <v>-0.61234920000000004</v>
      </c>
      <c r="G60" s="3">
        <v>38.271825</v>
      </c>
      <c r="H60" s="1">
        <f t="shared" si="1"/>
        <v>-6.0071456520000011</v>
      </c>
    </row>
    <row r="61" spans="1:8" x14ac:dyDescent="0.25">
      <c r="A61">
        <v>1336</v>
      </c>
      <c r="B61" s="2">
        <v>1382.01</v>
      </c>
      <c r="C61">
        <v>1.5</v>
      </c>
      <c r="D61">
        <v>10</v>
      </c>
      <c r="E61">
        <f t="shared" si="2"/>
        <v>15</v>
      </c>
      <c r="F61" s="1">
        <v>-0.58059775999999996</v>
      </c>
      <c r="G61" s="3">
        <v>38.706517333333331</v>
      </c>
      <c r="H61" s="1">
        <f t="shared" si="1"/>
        <v>-5.6956640256000002</v>
      </c>
    </row>
    <row r="62" spans="1:8" x14ac:dyDescent="0.25">
      <c r="A62">
        <v>1340</v>
      </c>
      <c r="B62" s="2">
        <v>1347.15</v>
      </c>
      <c r="C62">
        <v>1.4</v>
      </c>
      <c r="D62">
        <v>10</v>
      </c>
      <c r="E62">
        <f t="shared" si="2"/>
        <v>14</v>
      </c>
      <c r="F62" s="1">
        <v>-0.55338224000000003</v>
      </c>
      <c r="G62" s="3">
        <v>39.527302857142857</v>
      </c>
      <c r="H62" s="1">
        <f t="shared" si="1"/>
        <v>-5.4286797744000008</v>
      </c>
    </row>
    <row r="63" spans="1:8" x14ac:dyDescent="0.25">
      <c r="A63">
        <v>1344</v>
      </c>
      <c r="B63" s="2">
        <v>1320.39</v>
      </c>
      <c r="C63">
        <v>1.3</v>
      </c>
      <c r="D63">
        <v>10</v>
      </c>
      <c r="E63">
        <f t="shared" si="2"/>
        <v>13</v>
      </c>
      <c r="F63" s="1">
        <v>-0.53070264</v>
      </c>
      <c r="G63" s="3">
        <v>40.823279999999997</v>
      </c>
      <c r="H63" s="1">
        <f t="shared" si="1"/>
        <v>-5.2061928984000003</v>
      </c>
    </row>
    <row r="64" spans="1:8" x14ac:dyDescent="0.25">
      <c r="A64">
        <v>1348</v>
      </c>
      <c r="B64" s="2">
        <v>1293.77</v>
      </c>
      <c r="C64">
        <v>1.2</v>
      </c>
      <c r="D64">
        <v>10</v>
      </c>
      <c r="E64">
        <f t="shared" si="2"/>
        <v>12</v>
      </c>
      <c r="F64" s="1">
        <v>-0.5125589599999999</v>
      </c>
      <c r="G64" s="3">
        <v>42.713246666666663</v>
      </c>
      <c r="H64" s="1">
        <f t="shared" si="1"/>
        <v>-5.0282033975999996</v>
      </c>
    </row>
    <row r="65" spans="1:8" x14ac:dyDescent="0.25">
      <c r="A65">
        <v>1352</v>
      </c>
      <c r="B65" s="2">
        <v>1264.77</v>
      </c>
      <c r="C65">
        <v>1.2</v>
      </c>
      <c r="D65">
        <v>10</v>
      </c>
      <c r="E65">
        <f t="shared" si="2"/>
        <v>12</v>
      </c>
      <c r="F65" s="1">
        <v>-0.48534344000000001</v>
      </c>
      <c r="G65" s="3">
        <v>40.445286666666668</v>
      </c>
      <c r="H65" s="1">
        <f t="shared" si="1"/>
        <v>-4.7612191464000002</v>
      </c>
    </row>
    <row r="66" spans="1:8" x14ac:dyDescent="0.25">
      <c r="A66">
        <v>1356</v>
      </c>
      <c r="B66" s="2">
        <v>1239.06</v>
      </c>
      <c r="C66">
        <v>1.1000000000000001</v>
      </c>
      <c r="D66">
        <v>10</v>
      </c>
      <c r="E66">
        <f t="shared" si="2"/>
        <v>11</v>
      </c>
      <c r="F66" s="1">
        <v>-0.46719976000000002</v>
      </c>
      <c r="G66" s="3">
        <v>42.472705454545455</v>
      </c>
      <c r="H66" s="1">
        <f t="shared" si="1"/>
        <v>-4.5832296456000003</v>
      </c>
    </row>
    <row r="67" spans="1:8" x14ac:dyDescent="0.25">
      <c r="A67">
        <v>1360</v>
      </c>
      <c r="B67" s="2">
        <v>1199.94</v>
      </c>
      <c r="C67">
        <v>1</v>
      </c>
      <c r="D67">
        <v>10</v>
      </c>
      <c r="E67">
        <f t="shared" ref="E67:E98" si="3">D67*C67</f>
        <v>10</v>
      </c>
      <c r="F67" s="1">
        <v>-0.44452016</v>
      </c>
      <c r="G67" s="3">
        <v>44.452016</v>
      </c>
      <c r="H67" s="1">
        <f t="shared" ref="H67:H130" si="4">F67*9.81</f>
        <v>-4.3607427695999998</v>
      </c>
    </row>
    <row r="68" spans="1:8" x14ac:dyDescent="0.25">
      <c r="A68">
        <v>1364</v>
      </c>
      <c r="B68" s="2">
        <v>1173.6300000000001</v>
      </c>
      <c r="C68">
        <v>0.9</v>
      </c>
      <c r="D68">
        <v>10</v>
      </c>
      <c r="E68">
        <f t="shared" si="3"/>
        <v>9</v>
      </c>
      <c r="F68" s="1">
        <v>-0.42184056000000003</v>
      </c>
      <c r="G68" s="3">
        <v>46.871173333333331</v>
      </c>
      <c r="H68" s="1">
        <f t="shared" si="4"/>
        <v>-4.1382558936000002</v>
      </c>
    </row>
    <row r="69" spans="1:8" x14ac:dyDescent="0.25">
      <c r="A69">
        <v>1368</v>
      </c>
      <c r="B69" s="2">
        <v>1141.9100000000001</v>
      </c>
      <c r="C69">
        <v>0.8</v>
      </c>
      <c r="D69">
        <v>10</v>
      </c>
      <c r="E69">
        <f t="shared" si="3"/>
        <v>8</v>
      </c>
      <c r="F69" s="1">
        <v>-0.39916096000000001</v>
      </c>
      <c r="G69" s="3">
        <v>49.895119999999999</v>
      </c>
      <c r="H69" s="1">
        <f t="shared" si="4"/>
        <v>-3.9157690176000002</v>
      </c>
    </row>
    <row r="70" spans="1:8" x14ac:dyDescent="0.25">
      <c r="A70">
        <v>1372</v>
      </c>
      <c r="B70" s="2">
        <v>1113.95</v>
      </c>
      <c r="C70">
        <v>0.8</v>
      </c>
      <c r="D70">
        <v>10</v>
      </c>
      <c r="E70">
        <f t="shared" si="3"/>
        <v>8</v>
      </c>
      <c r="F70" s="1">
        <v>-0.38101727999999996</v>
      </c>
      <c r="G70" s="3">
        <v>47.627159999999996</v>
      </c>
      <c r="H70" s="1">
        <f t="shared" si="4"/>
        <v>-3.7377795167999999</v>
      </c>
    </row>
    <row r="71" spans="1:8" x14ac:dyDescent="0.25">
      <c r="A71">
        <v>1376</v>
      </c>
      <c r="B71" s="2">
        <v>1079.74</v>
      </c>
      <c r="C71">
        <v>0.7</v>
      </c>
      <c r="D71">
        <v>10</v>
      </c>
      <c r="E71">
        <f t="shared" si="3"/>
        <v>7</v>
      </c>
      <c r="F71" s="1">
        <v>-0.35380176000000002</v>
      </c>
      <c r="G71" s="3">
        <v>50.543108571428569</v>
      </c>
      <c r="H71" s="1">
        <f t="shared" si="4"/>
        <v>-3.4707952656000005</v>
      </c>
    </row>
    <row r="72" spans="1:8" x14ac:dyDescent="0.25">
      <c r="A72">
        <v>1380</v>
      </c>
      <c r="B72" s="2">
        <v>1047.69</v>
      </c>
      <c r="C72">
        <v>0.7</v>
      </c>
      <c r="D72">
        <v>10</v>
      </c>
      <c r="E72">
        <f t="shared" si="3"/>
        <v>7</v>
      </c>
      <c r="F72" s="1">
        <v>-0.33565807999999997</v>
      </c>
      <c r="G72" s="3">
        <v>47.951154285714281</v>
      </c>
      <c r="H72" s="1">
        <f t="shared" si="4"/>
        <v>-3.2928057647999998</v>
      </c>
    </row>
    <row r="73" spans="1:8" x14ac:dyDescent="0.25">
      <c r="A73">
        <v>1384</v>
      </c>
      <c r="B73" s="2">
        <v>1015.58</v>
      </c>
      <c r="C73">
        <v>0.6</v>
      </c>
      <c r="D73">
        <v>10</v>
      </c>
      <c r="E73">
        <f t="shared" si="3"/>
        <v>6</v>
      </c>
      <c r="F73" s="1">
        <v>-0.31297847999999995</v>
      </c>
      <c r="G73" s="3">
        <v>52.163080000000001</v>
      </c>
      <c r="H73" s="1">
        <f t="shared" si="4"/>
        <v>-3.0703188887999997</v>
      </c>
    </row>
    <row r="74" spans="1:8" x14ac:dyDescent="0.25">
      <c r="A74">
        <v>1388</v>
      </c>
      <c r="B74" s="2">
        <v>985.54</v>
      </c>
      <c r="C74">
        <v>0.5</v>
      </c>
      <c r="D74">
        <v>10</v>
      </c>
      <c r="E74">
        <f t="shared" si="3"/>
        <v>5</v>
      </c>
      <c r="F74" s="1">
        <v>-0.29483480000000001</v>
      </c>
      <c r="G74" s="3">
        <v>58.966959999999993</v>
      </c>
      <c r="H74" s="1">
        <f t="shared" si="4"/>
        <v>-2.8923293880000003</v>
      </c>
    </row>
    <row r="75" spans="1:8" x14ac:dyDescent="0.25">
      <c r="A75">
        <v>1392</v>
      </c>
      <c r="B75" s="2">
        <v>948.45</v>
      </c>
      <c r="C75">
        <v>0.5</v>
      </c>
      <c r="D75">
        <v>10</v>
      </c>
      <c r="E75">
        <f t="shared" si="3"/>
        <v>5</v>
      </c>
      <c r="F75" s="1">
        <v>-0.27669112000000001</v>
      </c>
      <c r="G75" s="3">
        <v>55.338224000000004</v>
      </c>
      <c r="H75" s="1">
        <f t="shared" si="4"/>
        <v>-2.7143398872000004</v>
      </c>
    </row>
    <row r="76" spans="1:8" x14ac:dyDescent="0.25">
      <c r="A76">
        <v>1396</v>
      </c>
      <c r="B76" s="2">
        <v>916.27</v>
      </c>
      <c r="C76">
        <v>0.4</v>
      </c>
      <c r="D76">
        <v>10</v>
      </c>
      <c r="E76">
        <f t="shared" si="3"/>
        <v>4</v>
      </c>
      <c r="F76" s="1">
        <v>-0.24947560000000002</v>
      </c>
      <c r="G76" s="3">
        <v>62.368900000000004</v>
      </c>
      <c r="H76" s="1">
        <f t="shared" si="4"/>
        <v>-2.4473556360000002</v>
      </c>
    </row>
    <row r="77" spans="1:8" x14ac:dyDescent="0.25">
      <c r="A77">
        <v>1400</v>
      </c>
      <c r="B77" s="2">
        <v>882.74</v>
      </c>
      <c r="C77">
        <v>0.4</v>
      </c>
      <c r="D77">
        <v>10</v>
      </c>
      <c r="E77">
        <f t="shared" si="3"/>
        <v>4</v>
      </c>
      <c r="F77" s="1">
        <v>-0.23586784</v>
      </c>
      <c r="G77" s="3">
        <v>58.96696</v>
      </c>
      <c r="H77" s="1">
        <f t="shared" si="4"/>
        <v>-2.3138635104</v>
      </c>
    </row>
    <row r="78" spans="1:8" x14ac:dyDescent="0.25">
      <c r="A78">
        <v>1404</v>
      </c>
      <c r="B78" s="2">
        <v>845.2</v>
      </c>
      <c r="C78">
        <v>0.4</v>
      </c>
      <c r="D78">
        <v>10</v>
      </c>
      <c r="E78">
        <f t="shared" si="3"/>
        <v>4</v>
      </c>
      <c r="F78" s="1">
        <v>-0.21318823999999997</v>
      </c>
      <c r="G78" s="3">
        <v>53.297059999999995</v>
      </c>
      <c r="H78" s="1">
        <f t="shared" si="4"/>
        <v>-2.0913766344</v>
      </c>
    </row>
    <row r="79" spans="1:8" x14ac:dyDescent="0.25">
      <c r="A79">
        <v>1408</v>
      </c>
      <c r="B79" s="2">
        <v>813.07</v>
      </c>
      <c r="C79">
        <v>0.3</v>
      </c>
      <c r="D79">
        <v>10</v>
      </c>
      <c r="E79">
        <f t="shared" si="3"/>
        <v>3</v>
      </c>
      <c r="F79" s="1">
        <v>-0.19958048</v>
      </c>
      <c r="G79" s="3">
        <v>66.526826666666665</v>
      </c>
      <c r="H79" s="1">
        <f t="shared" si="4"/>
        <v>-1.9578845088000001</v>
      </c>
    </row>
    <row r="80" spans="1:8" x14ac:dyDescent="0.25">
      <c r="A80">
        <v>1412</v>
      </c>
      <c r="B80" s="2">
        <v>773.62</v>
      </c>
      <c r="C80">
        <v>0.22</v>
      </c>
      <c r="D80">
        <v>10</v>
      </c>
      <c r="E80">
        <f t="shared" si="3"/>
        <v>2.2000000000000002</v>
      </c>
      <c r="F80" s="1">
        <v>-0.18143680000000001</v>
      </c>
      <c r="G80" s="3">
        <v>82.471272727272719</v>
      </c>
      <c r="H80" s="1">
        <f t="shared" si="4"/>
        <v>-1.7798950080000002</v>
      </c>
    </row>
    <row r="81" spans="1:8" x14ac:dyDescent="0.25">
      <c r="A81">
        <v>1416</v>
      </c>
      <c r="B81" s="2">
        <v>739.5</v>
      </c>
      <c r="C81">
        <v>0.2</v>
      </c>
      <c r="D81">
        <v>10</v>
      </c>
      <c r="E81">
        <f t="shared" si="3"/>
        <v>2</v>
      </c>
      <c r="F81" s="1">
        <v>-0.16329311999999999</v>
      </c>
      <c r="G81" s="3">
        <v>81.646559999999994</v>
      </c>
      <c r="H81" s="1">
        <f t="shared" si="4"/>
        <v>-1.6019055071999999</v>
      </c>
    </row>
    <row r="82" spans="1:8" x14ac:dyDescent="0.25">
      <c r="A82">
        <v>1420</v>
      </c>
      <c r="B82" s="2">
        <v>700.67</v>
      </c>
      <c r="C82">
        <v>0.2</v>
      </c>
      <c r="D82">
        <v>10</v>
      </c>
      <c r="E82">
        <f t="shared" si="3"/>
        <v>2</v>
      </c>
      <c r="F82" s="1">
        <v>-0.15422128000000002</v>
      </c>
      <c r="G82" s="3">
        <v>77.110640000000004</v>
      </c>
      <c r="H82" s="1">
        <f t="shared" si="4"/>
        <v>-1.5129107568000002</v>
      </c>
    </row>
    <row r="83" spans="1:8" x14ac:dyDescent="0.25">
      <c r="A83">
        <v>1424</v>
      </c>
      <c r="B83" s="2">
        <v>664.03</v>
      </c>
      <c r="C83">
        <v>0.2</v>
      </c>
      <c r="D83">
        <v>10</v>
      </c>
      <c r="E83">
        <f t="shared" si="3"/>
        <v>2</v>
      </c>
      <c r="F83" s="1">
        <v>-0.13607759999999999</v>
      </c>
      <c r="G83" s="3">
        <v>68.038799999999995</v>
      </c>
      <c r="H83" s="1">
        <f t="shared" si="4"/>
        <v>-1.3349212559999999</v>
      </c>
    </row>
    <row r="84" spans="1:8" x14ac:dyDescent="0.25">
      <c r="A84">
        <v>1428</v>
      </c>
      <c r="B84" s="2">
        <v>624.21</v>
      </c>
      <c r="C84">
        <v>0.2</v>
      </c>
      <c r="D84">
        <v>10</v>
      </c>
      <c r="E84">
        <f t="shared" si="3"/>
        <v>2</v>
      </c>
      <c r="F84" s="1">
        <v>-0.11793392</v>
      </c>
      <c r="G84" s="3">
        <v>58.96696</v>
      </c>
      <c r="H84" s="1">
        <f t="shared" si="4"/>
        <v>-1.1569317552</v>
      </c>
    </row>
    <row r="85" spans="1:8" x14ac:dyDescent="0.25">
      <c r="A85">
        <v>1432</v>
      </c>
      <c r="B85" s="2">
        <v>584.37</v>
      </c>
      <c r="C85">
        <v>0.1</v>
      </c>
      <c r="D85">
        <v>10</v>
      </c>
      <c r="E85">
        <f t="shared" si="3"/>
        <v>1</v>
      </c>
      <c r="F85" s="1">
        <v>-9.9790240000000002E-2</v>
      </c>
      <c r="G85" s="3">
        <v>99.790239999999997</v>
      </c>
      <c r="H85" s="1">
        <f t="shared" si="4"/>
        <v>-0.97894225440000004</v>
      </c>
    </row>
    <row r="86" spans="1:8" x14ac:dyDescent="0.25">
      <c r="A86">
        <v>1436</v>
      </c>
      <c r="B86" s="2">
        <v>544.9</v>
      </c>
      <c r="C86">
        <v>0.1</v>
      </c>
      <c r="D86">
        <v>10</v>
      </c>
      <c r="E86">
        <f t="shared" si="3"/>
        <v>1</v>
      </c>
      <c r="F86" s="1">
        <v>-8.6182480000000006E-2</v>
      </c>
      <c r="G86" s="3">
        <v>86.182479999999998</v>
      </c>
      <c r="H86" s="1">
        <f t="shared" si="4"/>
        <v>-0.84545012880000014</v>
      </c>
    </row>
    <row r="87" spans="1:8" x14ac:dyDescent="0.25">
      <c r="A87">
        <v>1440</v>
      </c>
      <c r="B87" s="2">
        <v>504.09</v>
      </c>
      <c r="C87">
        <v>0.1</v>
      </c>
      <c r="D87">
        <v>10</v>
      </c>
      <c r="E87">
        <f t="shared" si="3"/>
        <v>1</v>
      </c>
      <c r="F87" s="1">
        <v>-7.2574719999999995E-2</v>
      </c>
      <c r="G87" s="3">
        <v>72.574719999999999</v>
      </c>
      <c r="H87" s="1">
        <f t="shared" si="4"/>
        <v>-0.71195800320000002</v>
      </c>
    </row>
    <row r="88" spans="1:8" x14ac:dyDescent="0.25">
      <c r="A88">
        <v>1444</v>
      </c>
      <c r="B88" s="2">
        <v>462</v>
      </c>
      <c r="C88">
        <v>0.05</v>
      </c>
      <c r="D88">
        <v>10</v>
      </c>
      <c r="E88">
        <f t="shared" si="3"/>
        <v>0.5</v>
      </c>
      <c r="F88" s="1">
        <v>-6.3502880000000012E-2</v>
      </c>
      <c r="G88" s="3">
        <v>127.00576000000001</v>
      </c>
      <c r="H88" s="1">
        <f t="shared" si="4"/>
        <v>-0.6229632528000002</v>
      </c>
    </row>
    <row r="89" spans="1:8" x14ac:dyDescent="0.25">
      <c r="A89">
        <v>1448</v>
      </c>
      <c r="B89" s="2">
        <v>421.48</v>
      </c>
      <c r="C89">
        <v>0.05</v>
      </c>
      <c r="D89">
        <v>10</v>
      </c>
      <c r="E89">
        <f t="shared" si="3"/>
        <v>0.5</v>
      </c>
      <c r="F89" s="1">
        <v>-5.443104E-2</v>
      </c>
      <c r="G89" s="3">
        <v>108.86207999999999</v>
      </c>
      <c r="H89" s="1">
        <f t="shared" si="4"/>
        <v>-0.53396850240000004</v>
      </c>
    </row>
    <row r="90" spans="1:8" x14ac:dyDescent="0.25">
      <c r="A90">
        <v>1452</v>
      </c>
      <c r="B90" s="2">
        <v>377.18</v>
      </c>
      <c r="C90">
        <v>0.05</v>
      </c>
      <c r="D90">
        <v>10</v>
      </c>
      <c r="E90">
        <f t="shared" si="3"/>
        <v>0.5</v>
      </c>
      <c r="F90" s="1">
        <v>-4.5359200000000002E-2</v>
      </c>
      <c r="G90" s="3">
        <v>90.718400000000003</v>
      </c>
      <c r="H90" s="1">
        <f t="shared" si="4"/>
        <v>-0.44497375200000006</v>
      </c>
    </row>
    <row r="91" spans="1:8" x14ac:dyDescent="0.25">
      <c r="A91">
        <v>1456</v>
      </c>
      <c r="B91" s="2">
        <v>334.68</v>
      </c>
      <c r="C91">
        <v>0.05</v>
      </c>
      <c r="D91">
        <v>10</v>
      </c>
      <c r="E91">
        <f t="shared" si="3"/>
        <v>0.5</v>
      </c>
      <c r="F91" s="1">
        <v>-3.1751440000000006E-2</v>
      </c>
      <c r="G91" s="3">
        <v>63.502880000000005</v>
      </c>
      <c r="H91" s="1">
        <f t="shared" si="4"/>
        <v>-0.3114816264000001</v>
      </c>
    </row>
    <row r="92" spans="1:8" x14ac:dyDescent="0.25">
      <c r="A92">
        <v>1460</v>
      </c>
      <c r="B92" s="2">
        <v>0</v>
      </c>
      <c r="C92">
        <v>0</v>
      </c>
      <c r="D92">
        <v>10</v>
      </c>
      <c r="E92">
        <f t="shared" si="3"/>
        <v>0</v>
      </c>
      <c r="F92" s="1">
        <v>0</v>
      </c>
      <c r="G92" s="3">
        <v>0</v>
      </c>
      <c r="H92" s="1">
        <f t="shared" si="4"/>
        <v>0</v>
      </c>
    </row>
    <row r="93" spans="1:8" x14ac:dyDescent="0.25">
      <c r="A93">
        <v>1464</v>
      </c>
      <c r="B93" s="2">
        <v>0</v>
      </c>
      <c r="C93">
        <v>0</v>
      </c>
      <c r="D93">
        <v>10</v>
      </c>
      <c r="E93">
        <f t="shared" si="3"/>
        <v>0</v>
      </c>
      <c r="F93" s="1">
        <v>0</v>
      </c>
      <c r="G93" s="3">
        <v>0</v>
      </c>
      <c r="H93" s="1">
        <f t="shared" si="4"/>
        <v>0</v>
      </c>
    </row>
    <row r="94" spans="1:8" x14ac:dyDescent="0.25">
      <c r="A94">
        <v>1468</v>
      </c>
      <c r="B94" s="2">
        <v>0</v>
      </c>
      <c r="C94">
        <v>0</v>
      </c>
      <c r="D94">
        <v>10</v>
      </c>
      <c r="E94">
        <f t="shared" si="3"/>
        <v>0</v>
      </c>
      <c r="F94" s="1">
        <v>0</v>
      </c>
      <c r="G94" s="3">
        <v>0</v>
      </c>
      <c r="H94" s="1">
        <f t="shared" si="4"/>
        <v>0</v>
      </c>
    </row>
    <row r="95" spans="1:8" x14ac:dyDescent="0.25">
      <c r="A95">
        <v>1472</v>
      </c>
      <c r="B95" s="2">
        <v>0</v>
      </c>
      <c r="C95">
        <v>0</v>
      </c>
      <c r="D95">
        <v>10</v>
      </c>
      <c r="E95">
        <f t="shared" si="3"/>
        <v>0</v>
      </c>
      <c r="F95" s="1">
        <v>0</v>
      </c>
      <c r="G95" s="3">
        <v>0</v>
      </c>
      <c r="H95" s="1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10</v>
      </c>
      <c r="E96">
        <f t="shared" si="3"/>
        <v>0</v>
      </c>
      <c r="F96" s="1">
        <v>0</v>
      </c>
      <c r="G96" s="3">
        <v>0</v>
      </c>
      <c r="H96" s="1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10</v>
      </c>
      <c r="E97">
        <f t="shared" si="3"/>
        <v>0</v>
      </c>
      <c r="F97" s="1">
        <v>0</v>
      </c>
      <c r="G97" s="3">
        <v>0</v>
      </c>
      <c r="H97" s="1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10</v>
      </c>
      <c r="E98">
        <f t="shared" si="3"/>
        <v>0</v>
      </c>
      <c r="F98" s="1">
        <v>0</v>
      </c>
      <c r="G98" s="3">
        <v>0</v>
      </c>
      <c r="H98" s="1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10</v>
      </c>
      <c r="E99">
        <f t="shared" ref="E99:E102" si="5">D99*C99</f>
        <v>0</v>
      </c>
      <c r="F99" s="1">
        <v>0</v>
      </c>
      <c r="G99" s="3">
        <v>0</v>
      </c>
      <c r="H99" s="1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10</v>
      </c>
      <c r="E100">
        <f t="shared" si="5"/>
        <v>0</v>
      </c>
      <c r="F100" s="1">
        <v>0</v>
      </c>
      <c r="G100" s="3">
        <v>0</v>
      </c>
      <c r="H100" s="1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10</v>
      </c>
      <c r="E101">
        <f t="shared" si="5"/>
        <v>0</v>
      </c>
      <c r="F101" s="1">
        <v>0</v>
      </c>
      <c r="G101" s="3">
        <v>0</v>
      </c>
      <c r="H101" s="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10</v>
      </c>
      <c r="E102">
        <f t="shared" si="5"/>
        <v>0</v>
      </c>
      <c r="F102" s="1">
        <v>0</v>
      </c>
      <c r="G102" s="3">
        <v>0</v>
      </c>
      <c r="H102" s="1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10</v>
      </c>
      <c r="E103">
        <f t="shared" ref="E103:E166" si="6">D103*C103</f>
        <v>0</v>
      </c>
      <c r="F103" s="1">
        <v>0</v>
      </c>
      <c r="G103" s="3">
        <v>0</v>
      </c>
      <c r="H103" s="1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10</v>
      </c>
      <c r="E104">
        <f t="shared" si="6"/>
        <v>0</v>
      </c>
      <c r="F104" s="1">
        <v>0</v>
      </c>
      <c r="G104" s="3">
        <v>0</v>
      </c>
      <c r="H104" s="1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10</v>
      </c>
      <c r="E105">
        <f t="shared" si="6"/>
        <v>0</v>
      </c>
      <c r="F105" s="1">
        <v>0</v>
      </c>
      <c r="G105" s="3">
        <v>0</v>
      </c>
      <c r="H105" s="1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10</v>
      </c>
      <c r="E106">
        <f t="shared" si="6"/>
        <v>0</v>
      </c>
      <c r="F106" s="1">
        <v>0</v>
      </c>
      <c r="G106" s="3">
        <v>0</v>
      </c>
      <c r="H106" s="1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10</v>
      </c>
      <c r="E107">
        <f t="shared" si="6"/>
        <v>0</v>
      </c>
      <c r="F107" s="1">
        <v>0</v>
      </c>
      <c r="G107" s="3">
        <v>0</v>
      </c>
      <c r="H107" s="1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10</v>
      </c>
      <c r="E108">
        <f t="shared" si="6"/>
        <v>0</v>
      </c>
      <c r="F108" s="1">
        <v>0</v>
      </c>
      <c r="G108" s="3">
        <v>0</v>
      </c>
      <c r="H108" s="1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10</v>
      </c>
      <c r="E109">
        <f t="shared" si="6"/>
        <v>0</v>
      </c>
      <c r="F109" s="1">
        <v>0</v>
      </c>
      <c r="G109" s="3">
        <v>0</v>
      </c>
      <c r="H109" s="1">
        <f t="shared" si="4"/>
        <v>0</v>
      </c>
    </row>
    <row r="110" spans="1:8" x14ac:dyDescent="0.25">
      <c r="A110">
        <v>1532</v>
      </c>
      <c r="B110" s="2">
        <v>0</v>
      </c>
      <c r="C110">
        <v>0</v>
      </c>
      <c r="D110">
        <v>10</v>
      </c>
      <c r="E110">
        <f t="shared" si="6"/>
        <v>0</v>
      </c>
      <c r="F110" s="1">
        <v>0</v>
      </c>
      <c r="G110" s="3">
        <v>0</v>
      </c>
      <c r="H110" s="1">
        <f t="shared" si="4"/>
        <v>0</v>
      </c>
    </row>
    <row r="111" spans="1:8" x14ac:dyDescent="0.25">
      <c r="A111">
        <v>1536</v>
      </c>
      <c r="B111" s="2">
        <v>0</v>
      </c>
      <c r="C111">
        <v>0</v>
      </c>
      <c r="D111">
        <v>10</v>
      </c>
      <c r="E111">
        <f t="shared" si="6"/>
        <v>0</v>
      </c>
      <c r="F111" s="1">
        <v>0</v>
      </c>
      <c r="G111" s="3">
        <v>0</v>
      </c>
      <c r="H111" s="1">
        <f t="shared" si="4"/>
        <v>0</v>
      </c>
    </row>
    <row r="112" spans="1:8" x14ac:dyDescent="0.25">
      <c r="A112">
        <v>1540</v>
      </c>
      <c r="B112" s="2">
        <v>0</v>
      </c>
      <c r="C112">
        <v>0</v>
      </c>
      <c r="D112">
        <v>10</v>
      </c>
      <c r="E112">
        <f t="shared" si="6"/>
        <v>0</v>
      </c>
      <c r="F112" s="1">
        <v>0</v>
      </c>
      <c r="G112" s="3">
        <v>0</v>
      </c>
      <c r="H112" s="1">
        <f t="shared" si="4"/>
        <v>0</v>
      </c>
    </row>
    <row r="113" spans="1:8" x14ac:dyDescent="0.25">
      <c r="A113">
        <v>1544</v>
      </c>
      <c r="B113" s="2">
        <v>332.34</v>
      </c>
      <c r="C113">
        <v>0.05</v>
      </c>
      <c r="D113">
        <v>10</v>
      </c>
      <c r="E113">
        <f t="shared" si="6"/>
        <v>0.5</v>
      </c>
      <c r="F113" s="1">
        <v>4.0823279999999997E-2</v>
      </c>
      <c r="G113" s="3">
        <v>81.646559999999994</v>
      </c>
      <c r="H113" s="1">
        <f t="shared" si="4"/>
        <v>0.40047637679999998</v>
      </c>
    </row>
    <row r="114" spans="1:8" x14ac:dyDescent="0.25">
      <c r="A114">
        <v>1548</v>
      </c>
      <c r="B114" s="2">
        <v>373.31</v>
      </c>
      <c r="C114">
        <v>0.05</v>
      </c>
      <c r="D114">
        <v>10</v>
      </c>
      <c r="E114">
        <f t="shared" si="6"/>
        <v>0.5</v>
      </c>
      <c r="F114" s="1">
        <v>5.4431040000000007E-2</v>
      </c>
      <c r="G114" s="3">
        <v>108.86208000000001</v>
      </c>
      <c r="H114" s="1">
        <f t="shared" si="4"/>
        <v>0.53396850240000004</v>
      </c>
    </row>
    <row r="115" spans="1:8" x14ac:dyDescent="0.25">
      <c r="A115">
        <v>1552</v>
      </c>
      <c r="B115" s="2">
        <v>417.31</v>
      </c>
      <c r="C115">
        <v>0.05</v>
      </c>
      <c r="D115">
        <v>10</v>
      </c>
      <c r="E115">
        <f t="shared" si="6"/>
        <v>0.5</v>
      </c>
      <c r="F115" s="1">
        <v>6.803880000000001E-2</v>
      </c>
      <c r="G115" s="3">
        <v>136.07760000000002</v>
      </c>
      <c r="H115" s="1">
        <f t="shared" si="4"/>
        <v>0.66746062800000017</v>
      </c>
    </row>
    <row r="116" spans="1:8" x14ac:dyDescent="0.25">
      <c r="A116">
        <v>1556</v>
      </c>
      <c r="B116" s="2">
        <v>458.76</v>
      </c>
      <c r="C116">
        <v>0.1</v>
      </c>
      <c r="D116">
        <v>10</v>
      </c>
      <c r="E116">
        <f t="shared" si="6"/>
        <v>1</v>
      </c>
      <c r="F116" s="1">
        <v>7.7110640000000008E-2</v>
      </c>
      <c r="G116" s="3">
        <v>77.110640000000004</v>
      </c>
      <c r="H116" s="1">
        <f t="shared" si="4"/>
        <v>0.7564553784000001</v>
      </c>
    </row>
    <row r="117" spans="1:8" x14ac:dyDescent="0.25">
      <c r="A117">
        <v>1560</v>
      </c>
      <c r="B117" s="2">
        <v>500.1</v>
      </c>
      <c r="C117">
        <v>0.1</v>
      </c>
      <c r="D117">
        <v>10</v>
      </c>
      <c r="E117">
        <f t="shared" si="6"/>
        <v>1</v>
      </c>
      <c r="F117" s="1">
        <v>9.0718400000000005E-2</v>
      </c>
      <c r="G117" s="3">
        <v>90.718400000000003</v>
      </c>
      <c r="H117" s="1">
        <f t="shared" si="4"/>
        <v>0.88994750400000011</v>
      </c>
    </row>
    <row r="118" spans="1:8" x14ac:dyDescent="0.25">
      <c r="A118">
        <v>1564</v>
      </c>
      <c r="B118" s="2">
        <v>540.29999999999995</v>
      </c>
      <c r="C118">
        <v>0.1</v>
      </c>
      <c r="D118">
        <v>10</v>
      </c>
      <c r="E118">
        <f t="shared" si="6"/>
        <v>1</v>
      </c>
      <c r="F118" s="1">
        <v>0.10886208000000001</v>
      </c>
      <c r="G118" s="3">
        <v>108.86208000000001</v>
      </c>
      <c r="H118" s="1">
        <f t="shared" si="4"/>
        <v>1.0679370048000001</v>
      </c>
    </row>
    <row r="119" spans="1:8" x14ac:dyDescent="0.25">
      <c r="A119">
        <v>1568</v>
      </c>
      <c r="B119" s="2">
        <v>582.30999999999995</v>
      </c>
      <c r="C119">
        <v>0.1</v>
      </c>
      <c r="D119">
        <v>10</v>
      </c>
      <c r="E119">
        <f t="shared" si="6"/>
        <v>1</v>
      </c>
      <c r="F119" s="1">
        <v>0.12700576</v>
      </c>
      <c r="G119" s="3">
        <v>127.00575999999998</v>
      </c>
      <c r="H119" s="1">
        <f t="shared" si="4"/>
        <v>1.2459265056</v>
      </c>
    </row>
    <row r="120" spans="1:8" x14ac:dyDescent="0.25">
      <c r="A120">
        <v>1572</v>
      </c>
      <c r="B120" s="2">
        <v>621</v>
      </c>
      <c r="C120">
        <v>0.2</v>
      </c>
      <c r="D120">
        <v>10</v>
      </c>
      <c r="E120">
        <f t="shared" si="6"/>
        <v>2</v>
      </c>
      <c r="F120" s="1">
        <v>0.14514943999999999</v>
      </c>
      <c r="G120" s="3">
        <v>72.574719999999999</v>
      </c>
      <c r="H120" s="1">
        <f t="shared" si="4"/>
        <v>1.4239160064</v>
      </c>
    </row>
    <row r="121" spans="1:8" x14ac:dyDescent="0.25">
      <c r="A121">
        <v>1576</v>
      </c>
      <c r="B121" s="2">
        <v>657.13</v>
      </c>
      <c r="C121">
        <v>0.2</v>
      </c>
      <c r="D121">
        <v>10</v>
      </c>
      <c r="E121">
        <f t="shared" si="6"/>
        <v>2</v>
      </c>
      <c r="F121" s="1">
        <v>0.16329311999999999</v>
      </c>
      <c r="G121" s="3">
        <v>81.646559999999994</v>
      </c>
      <c r="H121" s="1">
        <f t="shared" si="4"/>
        <v>1.6019055071999999</v>
      </c>
    </row>
    <row r="122" spans="1:8" x14ac:dyDescent="0.25">
      <c r="A122">
        <v>1580</v>
      </c>
      <c r="B122" s="2">
        <v>694.76</v>
      </c>
      <c r="C122">
        <v>0.2</v>
      </c>
      <c r="D122">
        <v>10</v>
      </c>
      <c r="E122">
        <f t="shared" si="6"/>
        <v>2</v>
      </c>
      <c r="F122" s="1">
        <v>0.18143679999999998</v>
      </c>
      <c r="G122" s="3">
        <v>90.718399999999988</v>
      </c>
      <c r="H122" s="1">
        <f t="shared" si="4"/>
        <v>1.779895008</v>
      </c>
    </row>
    <row r="123" spans="1:8" x14ac:dyDescent="0.25">
      <c r="A123">
        <v>1584</v>
      </c>
      <c r="B123" s="2">
        <v>732.6</v>
      </c>
      <c r="C123">
        <v>0.2</v>
      </c>
      <c r="D123">
        <v>10</v>
      </c>
      <c r="E123">
        <f t="shared" si="6"/>
        <v>2</v>
      </c>
      <c r="F123" s="1">
        <v>0.20411639999999998</v>
      </c>
      <c r="G123" s="3">
        <v>102.05819999999999</v>
      </c>
      <c r="H123" s="1">
        <f t="shared" si="4"/>
        <v>2.0023818840000001</v>
      </c>
    </row>
    <row r="124" spans="1:8" x14ac:dyDescent="0.25">
      <c r="A124">
        <v>1588</v>
      </c>
      <c r="B124" s="2">
        <v>766</v>
      </c>
      <c r="C124">
        <v>0.3</v>
      </c>
      <c r="D124">
        <v>10</v>
      </c>
      <c r="E124">
        <f t="shared" si="6"/>
        <v>3</v>
      </c>
      <c r="F124" s="1">
        <v>0.22226008</v>
      </c>
      <c r="G124" s="3">
        <v>74.086693333333329</v>
      </c>
      <c r="H124" s="1">
        <f t="shared" si="4"/>
        <v>2.1803713847999999</v>
      </c>
    </row>
    <row r="125" spans="1:8" x14ac:dyDescent="0.25">
      <c r="A125">
        <v>1592</v>
      </c>
      <c r="B125" s="2">
        <v>804.51</v>
      </c>
      <c r="C125">
        <v>0.3</v>
      </c>
      <c r="D125">
        <v>10</v>
      </c>
      <c r="E125">
        <f t="shared" si="6"/>
        <v>3</v>
      </c>
      <c r="F125" s="1">
        <v>0.24493968000000002</v>
      </c>
      <c r="G125" s="3">
        <v>81.646560000000008</v>
      </c>
      <c r="H125" s="1">
        <f t="shared" si="4"/>
        <v>2.4028582608000004</v>
      </c>
    </row>
    <row r="126" spans="1:8" x14ac:dyDescent="0.25">
      <c r="A126">
        <v>1596</v>
      </c>
      <c r="B126" s="2">
        <v>835.96</v>
      </c>
      <c r="C126">
        <v>0.4</v>
      </c>
      <c r="D126">
        <v>10</v>
      </c>
      <c r="E126">
        <f t="shared" si="6"/>
        <v>4</v>
      </c>
      <c r="F126" s="1">
        <v>0.26308335999999999</v>
      </c>
      <c r="G126" s="3">
        <v>65.770839999999993</v>
      </c>
      <c r="H126" s="1">
        <f t="shared" si="4"/>
        <v>2.5808477615999998</v>
      </c>
    </row>
    <row r="127" spans="1:8" x14ac:dyDescent="0.25">
      <c r="A127">
        <v>1600</v>
      </c>
      <c r="B127" s="2">
        <v>872.57</v>
      </c>
      <c r="C127">
        <v>0.4</v>
      </c>
      <c r="D127">
        <v>10</v>
      </c>
      <c r="E127">
        <f t="shared" si="6"/>
        <v>4</v>
      </c>
      <c r="F127" s="1">
        <v>0.29029887999999998</v>
      </c>
      <c r="G127" s="3">
        <v>72.574719999999999</v>
      </c>
      <c r="H127" s="1">
        <f t="shared" si="4"/>
        <v>2.8478320128000001</v>
      </c>
    </row>
    <row r="128" spans="1:8" x14ac:dyDescent="0.25">
      <c r="A128">
        <v>1604</v>
      </c>
      <c r="B128" s="2">
        <v>905.53</v>
      </c>
      <c r="C128">
        <v>0.47</v>
      </c>
      <c r="D128">
        <v>10</v>
      </c>
      <c r="E128">
        <f t="shared" si="6"/>
        <v>4.6999999999999993</v>
      </c>
      <c r="F128" s="1">
        <v>0.31297847999999995</v>
      </c>
      <c r="G128" s="3">
        <v>66.591165957446819</v>
      </c>
      <c r="H128" s="1">
        <f t="shared" si="4"/>
        <v>3.0703188887999997</v>
      </c>
    </row>
    <row r="129" spans="1:8" x14ac:dyDescent="0.25">
      <c r="A129">
        <v>1608</v>
      </c>
      <c r="B129" s="2">
        <v>937.84</v>
      </c>
      <c r="C129">
        <v>0.5</v>
      </c>
      <c r="D129">
        <v>10</v>
      </c>
      <c r="E129">
        <f t="shared" si="6"/>
        <v>5</v>
      </c>
      <c r="F129" s="1">
        <v>0.33565807999999997</v>
      </c>
      <c r="G129" s="3">
        <v>67.131615999999994</v>
      </c>
      <c r="H129" s="1">
        <f t="shared" si="4"/>
        <v>3.2928057647999998</v>
      </c>
    </row>
    <row r="130" spans="1:8" x14ac:dyDescent="0.25">
      <c r="A130">
        <v>1612</v>
      </c>
      <c r="B130" s="2">
        <v>974.06</v>
      </c>
      <c r="C130">
        <v>0.5</v>
      </c>
      <c r="D130">
        <v>10</v>
      </c>
      <c r="E130">
        <f t="shared" si="6"/>
        <v>5</v>
      </c>
      <c r="F130" s="1">
        <v>0.36287359999999996</v>
      </c>
      <c r="G130" s="3">
        <v>72.574719999999985</v>
      </c>
      <c r="H130" s="1">
        <f t="shared" si="4"/>
        <v>3.559790016</v>
      </c>
    </row>
    <row r="131" spans="1:8" x14ac:dyDescent="0.25">
      <c r="A131">
        <v>1616</v>
      </c>
      <c r="B131" s="2">
        <v>1006.56</v>
      </c>
      <c r="C131">
        <v>0.6</v>
      </c>
      <c r="D131">
        <v>10</v>
      </c>
      <c r="E131">
        <f t="shared" si="6"/>
        <v>6</v>
      </c>
      <c r="F131" s="1">
        <v>0.38555319999999998</v>
      </c>
      <c r="G131" s="3">
        <v>64.258866666666663</v>
      </c>
      <c r="H131" s="1">
        <f t="shared" ref="H131:H194" si="7">F131*9.81</f>
        <v>3.7822768920000001</v>
      </c>
    </row>
    <row r="132" spans="1:8" x14ac:dyDescent="0.25">
      <c r="A132">
        <v>1620</v>
      </c>
      <c r="B132" s="2">
        <v>1035.1600000000001</v>
      </c>
      <c r="C132">
        <v>0.7</v>
      </c>
      <c r="D132">
        <v>10</v>
      </c>
      <c r="E132">
        <f t="shared" si="6"/>
        <v>7</v>
      </c>
      <c r="F132" s="1">
        <v>0.41276872000000003</v>
      </c>
      <c r="G132" s="3">
        <v>58.966959999999993</v>
      </c>
      <c r="H132" s="1">
        <f t="shared" si="7"/>
        <v>4.0492611432000007</v>
      </c>
    </row>
    <row r="133" spans="1:8" x14ac:dyDescent="0.25">
      <c r="A133">
        <v>1624</v>
      </c>
      <c r="B133" s="2">
        <v>1066.46</v>
      </c>
      <c r="C133">
        <v>0.7</v>
      </c>
      <c r="D133">
        <v>10</v>
      </c>
      <c r="E133">
        <f t="shared" si="6"/>
        <v>7</v>
      </c>
      <c r="F133" s="1">
        <v>0.44452016</v>
      </c>
      <c r="G133" s="3">
        <v>63.502879999999998</v>
      </c>
      <c r="H133" s="1">
        <f t="shared" si="7"/>
        <v>4.3607427695999998</v>
      </c>
    </row>
    <row r="134" spans="1:8" x14ac:dyDescent="0.25">
      <c r="A134">
        <v>1628</v>
      </c>
      <c r="B134" s="2">
        <v>1100.71</v>
      </c>
      <c r="C134">
        <v>0.8</v>
      </c>
      <c r="D134">
        <v>10</v>
      </c>
      <c r="E134">
        <f t="shared" si="6"/>
        <v>8</v>
      </c>
      <c r="F134" s="1">
        <v>0.46719976000000002</v>
      </c>
      <c r="G134" s="3">
        <v>58.399969999999996</v>
      </c>
      <c r="H134" s="1">
        <f t="shared" si="7"/>
        <v>4.5832296456000003</v>
      </c>
    </row>
    <row r="135" spans="1:8" x14ac:dyDescent="0.25">
      <c r="A135">
        <v>1632</v>
      </c>
      <c r="B135" s="2">
        <v>1128.8699999999999</v>
      </c>
      <c r="C135">
        <v>0.83</v>
      </c>
      <c r="D135">
        <v>10</v>
      </c>
      <c r="E135">
        <f t="shared" si="6"/>
        <v>8.2999999999999989</v>
      </c>
      <c r="F135" s="1">
        <v>0.49441528000000001</v>
      </c>
      <c r="G135" s="3">
        <v>59.568106024096394</v>
      </c>
      <c r="H135" s="1">
        <f t="shared" si="7"/>
        <v>4.8502138968000006</v>
      </c>
    </row>
    <row r="136" spans="1:8" x14ac:dyDescent="0.25">
      <c r="A136">
        <v>1636</v>
      </c>
      <c r="B136" s="2">
        <v>1159.42</v>
      </c>
      <c r="C136">
        <v>0.94</v>
      </c>
      <c r="D136">
        <v>10</v>
      </c>
      <c r="E136">
        <f t="shared" si="6"/>
        <v>9.3999999999999986</v>
      </c>
      <c r="F136" s="1">
        <v>0.52163079999999995</v>
      </c>
      <c r="G136" s="3">
        <v>55.49263829787234</v>
      </c>
      <c r="H136" s="1">
        <f t="shared" si="7"/>
        <v>5.1171981479999999</v>
      </c>
    </row>
    <row r="137" spans="1:8" x14ac:dyDescent="0.25">
      <c r="A137">
        <v>1640</v>
      </c>
      <c r="B137" s="2">
        <v>1187.81</v>
      </c>
      <c r="C137">
        <v>1</v>
      </c>
      <c r="D137">
        <v>10</v>
      </c>
      <c r="E137">
        <f t="shared" si="6"/>
        <v>10</v>
      </c>
      <c r="F137" s="1">
        <v>0.54884632</v>
      </c>
      <c r="G137" s="3">
        <v>54.884631999999996</v>
      </c>
      <c r="H137" s="1">
        <f t="shared" si="7"/>
        <v>5.3841823992000002</v>
      </c>
    </row>
    <row r="138" spans="1:8" x14ac:dyDescent="0.25">
      <c r="A138">
        <v>1644</v>
      </c>
      <c r="B138" s="2">
        <v>1219.22</v>
      </c>
      <c r="C138">
        <v>1.1000000000000001</v>
      </c>
      <c r="D138">
        <v>10</v>
      </c>
      <c r="E138">
        <f t="shared" si="6"/>
        <v>11</v>
      </c>
      <c r="F138" s="1">
        <v>0.58059775999999996</v>
      </c>
      <c r="G138" s="3">
        <v>52.781614545454545</v>
      </c>
      <c r="H138" s="1">
        <f t="shared" si="7"/>
        <v>5.6956640256000002</v>
      </c>
    </row>
    <row r="139" spans="1:8" x14ac:dyDescent="0.25">
      <c r="A139">
        <v>1648</v>
      </c>
      <c r="B139" s="2">
        <v>1250.46</v>
      </c>
      <c r="C139">
        <v>1.2</v>
      </c>
      <c r="D139">
        <v>10</v>
      </c>
      <c r="E139">
        <f t="shared" si="6"/>
        <v>12</v>
      </c>
      <c r="F139" s="1">
        <v>0.60781328000000001</v>
      </c>
      <c r="G139" s="3">
        <v>50.651106666666664</v>
      </c>
      <c r="H139" s="1">
        <f t="shared" si="7"/>
        <v>5.9626482768000004</v>
      </c>
    </row>
    <row r="140" spans="1:8" x14ac:dyDescent="0.25">
      <c r="A140">
        <v>1652</v>
      </c>
      <c r="B140" s="2">
        <v>1278.23</v>
      </c>
      <c r="C140">
        <v>1.3</v>
      </c>
      <c r="D140">
        <v>10</v>
      </c>
      <c r="E140">
        <f t="shared" si="6"/>
        <v>13</v>
      </c>
      <c r="F140" s="1">
        <v>0.63956471999999998</v>
      </c>
      <c r="G140" s="3">
        <v>49.19728615384615</v>
      </c>
      <c r="H140" s="1">
        <f t="shared" si="7"/>
        <v>6.2741299032000004</v>
      </c>
    </row>
    <row r="141" spans="1:8" x14ac:dyDescent="0.25">
      <c r="A141">
        <v>1656</v>
      </c>
      <c r="B141" s="2">
        <v>1303.26</v>
      </c>
      <c r="C141">
        <v>1.4</v>
      </c>
      <c r="D141">
        <v>10</v>
      </c>
      <c r="E141">
        <f t="shared" si="6"/>
        <v>14</v>
      </c>
      <c r="F141" s="1">
        <v>0.68492392000000002</v>
      </c>
      <c r="G141" s="3">
        <v>48.923137142857136</v>
      </c>
      <c r="H141" s="1">
        <f t="shared" si="7"/>
        <v>6.7191036552000005</v>
      </c>
    </row>
    <row r="142" spans="1:8" x14ac:dyDescent="0.25">
      <c r="A142">
        <v>1660</v>
      </c>
      <c r="B142" s="2">
        <v>1330.15</v>
      </c>
      <c r="C142">
        <v>1.5</v>
      </c>
      <c r="D142">
        <v>10</v>
      </c>
      <c r="E142">
        <f t="shared" si="6"/>
        <v>15</v>
      </c>
      <c r="F142" s="1">
        <v>0.70306760000000001</v>
      </c>
      <c r="G142" s="3">
        <v>46.871173333333331</v>
      </c>
      <c r="H142" s="1">
        <f t="shared" si="7"/>
        <v>6.8970931560000004</v>
      </c>
    </row>
    <row r="143" spans="1:8" x14ac:dyDescent="0.25">
      <c r="A143">
        <v>1664</v>
      </c>
      <c r="B143" s="2">
        <v>1362.78</v>
      </c>
      <c r="C143">
        <v>1.5</v>
      </c>
      <c r="D143">
        <v>10</v>
      </c>
      <c r="E143">
        <f t="shared" si="6"/>
        <v>15</v>
      </c>
      <c r="F143" s="1">
        <v>0.72574720000000004</v>
      </c>
      <c r="G143" s="3">
        <v>48.383146666666669</v>
      </c>
      <c r="H143" s="1">
        <f t="shared" si="7"/>
        <v>7.1195800320000009</v>
      </c>
    </row>
    <row r="144" spans="1:8" x14ac:dyDescent="0.25">
      <c r="A144">
        <v>1668</v>
      </c>
      <c r="B144" s="2">
        <v>1391.56</v>
      </c>
      <c r="C144">
        <v>1.6</v>
      </c>
      <c r="D144">
        <v>10</v>
      </c>
      <c r="E144">
        <f t="shared" si="6"/>
        <v>16</v>
      </c>
      <c r="F144" s="1">
        <v>0.76203455999999992</v>
      </c>
      <c r="G144" s="3">
        <v>47.627159999999996</v>
      </c>
      <c r="H144" s="1">
        <f t="shared" si="7"/>
        <v>7.4755590335999997</v>
      </c>
    </row>
    <row r="145" spans="1:8" x14ac:dyDescent="0.25">
      <c r="A145">
        <v>1672</v>
      </c>
      <c r="B145" s="2">
        <v>1417.83</v>
      </c>
      <c r="C145">
        <v>1.8</v>
      </c>
      <c r="D145">
        <v>10</v>
      </c>
      <c r="E145">
        <f t="shared" si="6"/>
        <v>18</v>
      </c>
      <c r="F145" s="1">
        <v>0.79832192000000002</v>
      </c>
      <c r="G145" s="3">
        <v>44.351217777777777</v>
      </c>
      <c r="H145" s="1">
        <f t="shared" si="7"/>
        <v>7.8315380352000004</v>
      </c>
    </row>
    <row r="146" spans="1:8" x14ac:dyDescent="0.25">
      <c r="A146">
        <v>1676</v>
      </c>
      <c r="B146" s="2">
        <v>1445.47</v>
      </c>
      <c r="C146">
        <v>1.9</v>
      </c>
      <c r="D146">
        <v>10</v>
      </c>
      <c r="E146">
        <f t="shared" si="6"/>
        <v>19</v>
      </c>
      <c r="F146" s="1">
        <v>0.82553744000000007</v>
      </c>
      <c r="G146" s="3">
        <v>43.449338947368418</v>
      </c>
      <c r="H146" s="1">
        <f t="shared" si="7"/>
        <v>8.0985222864000015</v>
      </c>
    </row>
    <row r="147" spans="1:8" x14ac:dyDescent="0.25">
      <c r="A147">
        <v>1680</v>
      </c>
      <c r="B147" s="2">
        <v>1473.43</v>
      </c>
      <c r="C147">
        <v>2</v>
      </c>
      <c r="D147">
        <v>10</v>
      </c>
      <c r="E147">
        <f t="shared" si="6"/>
        <v>20</v>
      </c>
      <c r="F147" s="1">
        <v>0.85275295999999989</v>
      </c>
      <c r="G147" s="3">
        <v>42.637647999999999</v>
      </c>
      <c r="H147" s="1">
        <f t="shared" si="7"/>
        <v>8.3655065376</v>
      </c>
    </row>
    <row r="148" spans="1:8" x14ac:dyDescent="0.25">
      <c r="A148">
        <v>1684</v>
      </c>
      <c r="B148" s="2">
        <v>1495.93</v>
      </c>
      <c r="C148">
        <v>2.1</v>
      </c>
      <c r="D148">
        <v>10</v>
      </c>
      <c r="E148">
        <f t="shared" si="6"/>
        <v>21</v>
      </c>
      <c r="F148" s="1">
        <v>0.88904032</v>
      </c>
      <c r="G148" s="3">
        <v>42.335253333333334</v>
      </c>
      <c r="H148" s="1">
        <f t="shared" si="7"/>
        <v>8.7214855391999997</v>
      </c>
    </row>
    <row r="149" spans="1:8" x14ac:dyDescent="0.25">
      <c r="A149">
        <v>1688</v>
      </c>
      <c r="B149" s="2">
        <v>1518.95</v>
      </c>
      <c r="C149">
        <v>2.2000000000000002</v>
      </c>
      <c r="D149">
        <v>10</v>
      </c>
      <c r="E149">
        <f t="shared" si="6"/>
        <v>22</v>
      </c>
      <c r="F149" s="1">
        <v>0.92079175999999985</v>
      </c>
      <c r="G149" s="3">
        <v>41.854170909090904</v>
      </c>
      <c r="H149" s="1">
        <f t="shared" si="7"/>
        <v>9.0329671655999988</v>
      </c>
    </row>
    <row r="150" spans="1:8" x14ac:dyDescent="0.25">
      <c r="A150">
        <v>1692</v>
      </c>
      <c r="B150" s="2">
        <v>1541.94</v>
      </c>
      <c r="C150">
        <v>2.2999999999999998</v>
      </c>
      <c r="D150">
        <v>10</v>
      </c>
      <c r="E150">
        <f t="shared" si="6"/>
        <v>23</v>
      </c>
      <c r="F150" s="1">
        <v>0.9480072799999999</v>
      </c>
      <c r="G150" s="3">
        <v>41.217707826086951</v>
      </c>
      <c r="H150" s="1">
        <f t="shared" si="7"/>
        <v>9.299951416799999</v>
      </c>
    </row>
    <row r="151" spans="1:8" x14ac:dyDescent="0.25">
      <c r="A151">
        <v>1696</v>
      </c>
      <c r="B151" s="2">
        <v>1570.74</v>
      </c>
      <c r="C151">
        <v>2.4300000000000002</v>
      </c>
      <c r="D151">
        <v>10</v>
      </c>
      <c r="E151">
        <f t="shared" si="6"/>
        <v>24.3</v>
      </c>
      <c r="F151" s="1">
        <v>0.97522279999999995</v>
      </c>
      <c r="G151" s="3">
        <v>40.132625514403287</v>
      </c>
      <c r="H151" s="1">
        <f t="shared" si="7"/>
        <v>9.5669356679999993</v>
      </c>
    </row>
    <row r="152" spans="1:8" x14ac:dyDescent="0.25">
      <c r="A152">
        <v>1700</v>
      </c>
      <c r="B152" s="2">
        <v>1596</v>
      </c>
      <c r="C152">
        <v>2.7</v>
      </c>
      <c r="D152">
        <v>10</v>
      </c>
      <c r="E152">
        <f t="shared" si="6"/>
        <v>27</v>
      </c>
      <c r="F152" s="1">
        <v>0.97068688000000003</v>
      </c>
      <c r="G152" s="3">
        <v>35.951365925925927</v>
      </c>
      <c r="H152" s="1">
        <f t="shared" si="7"/>
        <v>9.5224382928000004</v>
      </c>
    </row>
    <row r="153" spans="1:8" x14ac:dyDescent="0.25">
      <c r="A153">
        <v>1704</v>
      </c>
      <c r="B153" s="2">
        <v>1621.63</v>
      </c>
      <c r="C153">
        <v>2.8</v>
      </c>
      <c r="D153">
        <v>10</v>
      </c>
      <c r="E153">
        <f t="shared" si="6"/>
        <v>28</v>
      </c>
      <c r="F153" s="1">
        <v>1.04779752</v>
      </c>
      <c r="G153" s="3">
        <v>37.421340000000001</v>
      </c>
      <c r="H153" s="1">
        <f t="shared" si="7"/>
        <v>10.278893671200001</v>
      </c>
    </row>
    <row r="154" spans="1:8" x14ac:dyDescent="0.25">
      <c r="A154">
        <v>1708</v>
      </c>
      <c r="B154" s="2">
        <v>1650.43</v>
      </c>
      <c r="C154">
        <v>2.9</v>
      </c>
      <c r="D154">
        <v>10</v>
      </c>
      <c r="E154">
        <f t="shared" si="6"/>
        <v>29</v>
      </c>
      <c r="F154" s="1">
        <v>1.07501304</v>
      </c>
      <c r="G154" s="3">
        <v>37.069415172413798</v>
      </c>
      <c r="H154" s="1">
        <f t="shared" si="7"/>
        <v>10.545877922400001</v>
      </c>
    </row>
    <row r="155" spans="1:8" x14ac:dyDescent="0.25">
      <c r="A155">
        <v>1712</v>
      </c>
      <c r="B155" s="2">
        <v>1673.75</v>
      </c>
      <c r="C155">
        <v>3.1</v>
      </c>
      <c r="D155">
        <v>10</v>
      </c>
      <c r="E155">
        <f t="shared" si="6"/>
        <v>31</v>
      </c>
      <c r="F155" s="1">
        <v>1.1113004</v>
      </c>
      <c r="G155" s="3">
        <v>35.848400000000005</v>
      </c>
      <c r="H155" s="1">
        <f t="shared" si="7"/>
        <v>10.901856924000001</v>
      </c>
    </row>
    <row r="156" spans="1:8" x14ac:dyDescent="0.25">
      <c r="A156">
        <v>1716</v>
      </c>
      <c r="B156" s="2">
        <v>1695.56</v>
      </c>
      <c r="C156">
        <v>3.3</v>
      </c>
      <c r="D156">
        <v>10</v>
      </c>
      <c r="E156">
        <f t="shared" si="6"/>
        <v>33</v>
      </c>
      <c r="F156" s="1">
        <v>1.1657314399999998</v>
      </c>
      <c r="G156" s="3">
        <v>35.325195151515146</v>
      </c>
      <c r="H156" s="1">
        <f t="shared" si="7"/>
        <v>11.435825426399999</v>
      </c>
    </row>
    <row r="157" spans="1:8" x14ac:dyDescent="0.25">
      <c r="A157">
        <v>1720</v>
      </c>
      <c r="B157" s="2">
        <v>1720.07</v>
      </c>
      <c r="C157">
        <v>3.4</v>
      </c>
      <c r="D157">
        <v>10</v>
      </c>
      <c r="E157">
        <f t="shared" si="6"/>
        <v>34</v>
      </c>
      <c r="F157" s="1">
        <v>1.1838751199999999</v>
      </c>
      <c r="G157" s="3">
        <v>34.819856470588235</v>
      </c>
      <c r="H157" s="1">
        <f t="shared" si="7"/>
        <v>11.6138149272</v>
      </c>
    </row>
    <row r="158" spans="1:8" x14ac:dyDescent="0.25">
      <c r="A158">
        <v>1724</v>
      </c>
      <c r="B158" s="2">
        <v>1747.39</v>
      </c>
      <c r="C158">
        <v>3.5</v>
      </c>
      <c r="D158">
        <v>10</v>
      </c>
      <c r="E158">
        <f t="shared" si="6"/>
        <v>35</v>
      </c>
      <c r="F158" s="1">
        <v>1.20655472</v>
      </c>
      <c r="G158" s="3">
        <v>34.472992000000005</v>
      </c>
      <c r="H158" s="1">
        <f t="shared" si="7"/>
        <v>11.8363018032</v>
      </c>
    </row>
    <row r="159" spans="1:8" x14ac:dyDescent="0.25">
      <c r="A159">
        <v>1728</v>
      </c>
      <c r="B159" s="2">
        <v>1764.86</v>
      </c>
      <c r="C159">
        <v>3.7</v>
      </c>
      <c r="D159">
        <v>10</v>
      </c>
      <c r="E159">
        <f t="shared" si="6"/>
        <v>37</v>
      </c>
      <c r="F159" s="1">
        <v>1.23830616</v>
      </c>
      <c r="G159" s="3">
        <v>33.467734054054048</v>
      </c>
      <c r="H159" s="1">
        <f t="shared" si="7"/>
        <v>12.1477834296</v>
      </c>
    </row>
    <row r="160" spans="1:8" x14ac:dyDescent="0.25">
      <c r="A160">
        <v>1732</v>
      </c>
      <c r="B160" s="2">
        <v>1793.13</v>
      </c>
      <c r="C160">
        <v>3.84</v>
      </c>
      <c r="D160">
        <v>10</v>
      </c>
      <c r="E160">
        <f t="shared" si="6"/>
        <v>38.4</v>
      </c>
      <c r="F160" s="1">
        <v>1.27459352</v>
      </c>
      <c r="G160" s="3">
        <v>33.192539583333335</v>
      </c>
      <c r="H160" s="1">
        <f t="shared" si="7"/>
        <v>12.5037624312</v>
      </c>
    </row>
    <row r="161" spans="1:8" x14ac:dyDescent="0.25">
      <c r="A161">
        <v>1736</v>
      </c>
      <c r="B161" s="2">
        <v>1818.93</v>
      </c>
      <c r="C161">
        <v>4</v>
      </c>
      <c r="D161">
        <v>10</v>
      </c>
      <c r="E161">
        <f t="shared" si="6"/>
        <v>40</v>
      </c>
      <c r="F161" s="1">
        <v>1.31088088</v>
      </c>
      <c r="G161" s="3">
        <v>32.772022</v>
      </c>
      <c r="H161" s="1">
        <f t="shared" si="7"/>
        <v>12.859741432800002</v>
      </c>
    </row>
    <row r="162" spans="1:8" x14ac:dyDescent="0.25">
      <c r="A162">
        <v>1740</v>
      </c>
      <c r="B162" s="2">
        <v>1833.08</v>
      </c>
      <c r="C162">
        <v>4.2</v>
      </c>
      <c r="D162">
        <v>10</v>
      </c>
      <c r="E162">
        <f t="shared" si="6"/>
        <v>42</v>
      </c>
      <c r="F162" s="1">
        <v>1.3562400799999998</v>
      </c>
      <c r="G162" s="3">
        <v>32.29143047619047</v>
      </c>
      <c r="H162" s="1">
        <f t="shared" si="7"/>
        <v>13.304715184799999</v>
      </c>
    </row>
    <row r="163" spans="1:8" x14ac:dyDescent="0.25">
      <c r="A163">
        <v>1744</v>
      </c>
      <c r="B163" s="2">
        <v>1860.28</v>
      </c>
      <c r="C163">
        <v>4.4000000000000004</v>
      </c>
      <c r="D163">
        <v>10</v>
      </c>
      <c r="E163">
        <f t="shared" si="6"/>
        <v>44</v>
      </c>
      <c r="F163" s="1">
        <v>1.4106711199999999</v>
      </c>
      <c r="G163" s="3">
        <v>32.060707272727271</v>
      </c>
      <c r="H163" s="1">
        <f t="shared" si="7"/>
        <v>13.8386836872</v>
      </c>
    </row>
    <row r="164" spans="1:8" x14ac:dyDescent="0.25">
      <c r="A164">
        <v>1748</v>
      </c>
      <c r="B164" s="2">
        <v>1889.11</v>
      </c>
      <c r="C164">
        <v>4.5</v>
      </c>
      <c r="D164">
        <v>10</v>
      </c>
      <c r="E164">
        <f t="shared" si="6"/>
        <v>45</v>
      </c>
      <c r="F164" s="1">
        <v>1.4288148000000001</v>
      </c>
      <c r="G164" s="3">
        <v>31.751439999999999</v>
      </c>
      <c r="H164" s="1">
        <f t="shared" si="7"/>
        <v>14.016673188</v>
      </c>
    </row>
    <row r="165" spans="1:8" x14ac:dyDescent="0.25">
      <c r="A165">
        <v>1752</v>
      </c>
      <c r="B165" s="2">
        <v>1910.68</v>
      </c>
      <c r="C165">
        <v>4.7</v>
      </c>
      <c r="D165">
        <v>10</v>
      </c>
      <c r="E165">
        <f t="shared" si="6"/>
        <v>47</v>
      </c>
      <c r="F165" s="1">
        <v>1.4787099199999998</v>
      </c>
      <c r="G165" s="3">
        <v>31.461913191489359</v>
      </c>
      <c r="H165" s="1">
        <f t="shared" si="7"/>
        <v>14.506144315199998</v>
      </c>
    </row>
    <row r="166" spans="1:8" x14ac:dyDescent="0.25">
      <c r="A166">
        <v>1756</v>
      </c>
      <c r="B166" s="2">
        <v>1933.17</v>
      </c>
      <c r="C166">
        <v>4.9000000000000004</v>
      </c>
      <c r="D166">
        <v>10</v>
      </c>
      <c r="E166">
        <f t="shared" si="6"/>
        <v>49</v>
      </c>
      <c r="F166" s="1">
        <v>1.5240691199999998</v>
      </c>
      <c r="G166" s="3">
        <v>31.103451428571425</v>
      </c>
      <c r="H166" s="1">
        <f t="shared" si="7"/>
        <v>14.951118067199999</v>
      </c>
    </row>
    <row r="167" spans="1:8" x14ac:dyDescent="0.25">
      <c r="A167">
        <v>1760</v>
      </c>
      <c r="B167" s="2">
        <v>1961.66</v>
      </c>
      <c r="C167">
        <v>5.0999999999999996</v>
      </c>
      <c r="D167">
        <v>10</v>
      </c>
      <c r="E167">
        <f t="shared" ref="E167:E201" si="8">D167*C167</f>
        <v>51</v>
      </c>
      <c r="F167" s="1">
        <v>1.5467487200000001</v>
      </c>
      <c r="G167" s="3">
        <v>30.328406274509806</v>
      </c>
      <c r="H167" s="1">
        <f t="shared" si="7"/>
        <v>15.173604943200001</v>
      </c>
    </row>
    <row r="168" spans="1:8" x14ac:dyDescent="0.25">
      <c r="A168">
        <v>1764</v>
      </c>
      <c r="B168" s="2">
        <v>1983.53</v>
      </c>
      <c r="C168">
        <v>5.3</v>
      </c>
      <c r="D168">
        <v>10</v>
      </c>
      <c r="E168">
        <f t="shared" si="8"/>
        <v>53</v>
      </c>
      <c r="F168" s="1">
        <v>1.5785001599999999</v>
      </c>
      <c r="G168" s="3">
        <v>29.783021886792454</v>
      </c>
      <c r="H168" s="1">
        <f t="shared" si="7"/>
        <v>15.4850865696</v>
      </c>
    </row>
    <row r="169" spans="1:8" x14ac:dyDescent="0.25">
      <c r="A169">
        <v>1768</v>
      </c>
      <c r="B169" s="2">
        <v>2004.48</v>
      </c>
      <c r="C169">
        <v>5.5</v>
      </c>
      <c r="D169">
        <v>10</v>
      </c>
      <c r="E169">
        <f t="shared" si="8"/>
        <v>55</v>
      </c>
      <c r="F169" s="1">
        <v>1.62385936</v>
      </c>
      <c r="G169" s="3">
        <v>29.524715636363634</v>
      </c>
      <c r="H169" s="1">
        <f t="shared" si="7"/>
        <v>15.930060321600001</v>
      </c>
    </row>
    <row r="170" spans="1:8" x14ac:dyDescent="0.25">
      <c r="A170">
        <v>1772</v>
      </c>
      <c r="B170" s="2">
        <v>2026.86</v>
      </c>
      <c r="C170">
        <v>5.7</v>
      </c>
      <c r="D170">
        <v>10</v>
      </c>
      <c r="E170">
        <f t="shared" si="8"/>
        <v>57</v>
      </c>
      <c r="F170" s="1">
        <v>1.6556108</v>
      </c>
      <c r="G170" s="3">
        <v>29.045803508771929</v>
      </c>
      <c r="H170" s="1">
        <f t="shared" si="7"/>
        <v>16.241541948000002</v>
      </c>
    </row>
    <row r="171" spans="1:8" x14ac:dyDescent="0.25">
      <c r="A171">
        <v>1776</v>
      </c>
      <c r="B171" s="2">
        <v>2052.48</v>
      </c>
      <c r="C171">
        <v>5.9</v>
      </c>
      <c r="D171">
        <v>10</v>
      </c>
      <c r="E171">
        <f t="shared" si="8"/>
        <v>59</v>
      </c>
      <c r="F171" s="1">
        <v>1.69189816</v>
      </c>
      <c r="G171" s="3">
        <v>28.67624</v>
      </c>
      <c r="H171" s="1">
        <f t="shared" si="7"/>
        <v>16.5975209496</v>
      </c>
    </row>
    <row r="172" spans="1:8" x14ac:dyDescent="0.25">
      <c r="A172">
        <v>1780</v>
      </c>
      <c r="B172" s="2">
        <v>2075.09</v>
      </c>
      <c r="C172">
        <v>6.09</v>
      </c>
      <c r="D172">
        <v>10</v>
      </c>
      <c r="E172">
        <f t="shared" si="8"/>
        <v>60.9</v>
      </c>
      <c r="F172" s="1">
        <v>1.72818552</v>
      </c>
      <c r="G172" s="3">
        <v>28.37743054187192</v>
      </c>
      <c r="H172" s="1">
        <f t="shared" si="7"/>
        <v>16.953499951200001</v>
      </c>
    </row>
    <row r="173" spans="1:8" x14ac:dyDescent="0.25">
      <c r="A173">
        <v>1784</v>
      </c>
      <c r="B173" s="2">
        <v>2092.7800000000002</v>
      </c>
      <c r="C173">
        <v>6.3</v>
      </c>
      <c r="D173">
        <v>10</v>
      </c>
      <c r="E173">
        <f t="shared" si="8"/>
        <v>63</v>
      </c>
      <c r="F173" s="1">
        <v>1.7735447200000001</v>
      </c>
      <c r="G173" s="3">
        <v>28.151503492063494</v>
      </c>
      <c r="H173" s="1">
        <f t="shared" si="7"/>
        <v>17.398473703200001</v>
      </c>
    </row>
    <row r="174" spans="1:8" x14ac:dyDescent="0.25">
      <c r="A174">
        <v>1788</v>
      </c>
      <c r="B174" s="2">
        <v>2118.09</v>
      </c>
      <c r="C174">
        <v>6.5</v>
      </c>
      <c r="D174">
        <v>10</v>
      </c>
      <c r="E174">
        <f t="shared" si="8"/>
        <v>65</v>
      </c>
      <c r="F174" s="1">
        <v>1.80076024</v>
      </c>
      <c r="G174" s="3">
        <v>27.704003692307694</v>
      </c>
      <c r="H174" s="1">
        <f t="shared" si="7"/>
        <v>17.665457954400001</v>
      </c>
    </row>
    <row r="175" spans="1:8" x14ac:dyDescent="0.25">
      <c r="A175">
        <v>1792</v>
      </c>
      <c r="B175" s="2">
        <v>2139.65</v>
      </c>
      <c r="C175">
        <v>6.73</v>
      </c>
      <c r="D175">
        <v>10</v>
      </c>
      <c r="E175">
        <f t="shared" si="8"/>
        <v>67.300000000000011</v>
      </c>
      <c r="F175" s="1">
        <v>1.8461194400000001</v>
      </c>
      <c r="G175" s="3">
        <v>27.431195245170876</v>
      </c>
      <c r="H175" s="1">
        <f t="shared" si="7"/>
        <v>18.1104317064</v>
      </c>
    </row>
    <row r="176" spans="1:8" x14ac:dyDescent="0.25">
      <c r="A176">
        <v>1796</v>
      </c>
      <c r="B176" s="2">
        <v>2160.17</v>
      </c>
      <c r="C176">
        <v>6.9</v>
      </c>
      <c r="D176">
        <v>10</v>
      </c>
      <c r="E176">
        <f t="shared" si="8"/>
        <v>69</v>
      </c>
      <c r="F176" s="1">
        <v>1.8778708800000001</v>
      </c>
      <c r="G176" s="3">
        <v>27.215520000000001</v>
      </c>
      <c r="H176" s="1">
        <f t="shared" si="7"/>
        <v>18.421913332800003</v>
      </c>
    </row>
    <row r="177" spans="1:8" x14ac:dyDescent="0.25">
      <c r="A177">
        <v>1800</v>
      </c>
      <c r="B177" s="2">
        <v>2178.6799999999998</v>
      </c>
      <c r="C177">
        <v>7.13</v>
      </c>
      <c r="D177">
        <v>10</v>
      </c>
      <c r="E177">
        <f t="shared" si="8"/>
        <v>71.3</v>
      </c>
      <c r="F177" s="1">
        <v>1.9141582400000003</v>
      </c>
      <c r="G177" s="3">
        <v>26.846539130434788</v>
      </c>
      <c r="H177" s="1">
        <f t="shared" si="7"/>
        <v>18.777892334400004</v>
      </c>
    </row>
    <row r="178" spans="1:8" x14ac:dyDescent="0.25">
      <c r="A178">
        <v>1804</v>
      </c>
      <c r="B178" s="2">
        <v>2199.9</v>
      </c>
      <c r="C178">
        <v>7.4</v>
      </c>
      <c r="D178">
        <v>10</v>
      </c>
      <c r="E178">
        <f t="shared" si="8"/>
        <v>74</v>
      </c>
      <c r="F178" s="1">
        <v>1.9912688800000002</v>
      </c>
      <c r="G178" s="3">
        <v>26.90903891891892</v>
      </c>
      <c r="H178" s="1">
        <f t="shared" si="7"/>
        <v>19.534347712800002</v>
      </c>
    </row>
    <row r="179" spans="1:8" x14ac:dyDescent="0.25">
      <c r="A179">
        <v>1808</v>
      </c>
      <c r="B179" s="2">
        <v>2225.3200000000002</v>
      </c>
      <c r="C179">
        <v>7.6</v>
      </c>
      <c r="D179">
        <v>10</v>
      </c>
      <c r="E179">
        <f t="shared" si="8"/>
        <v>76</v>
      </c>
      <c r="F179" s="1">
        <v>1.9958048000000002</v>
      </c>
      <c r="G179" s="3">
        <v>26.260589473684213</v>
      </c>
      <c r="H179" s="1">
        <f t="shared" si="7"/>
        <v>19.578845088000001</v>
      </c>
    </row>
    <row r="180" spans="1:8" x14ac:dyDescent="0.25">
      <c r="A180">
        <v>1812</v>
      </c>
      <c r="B180" s="2">
        <v>2245.42</v>
      </c>
      <c r="C180">
        <v>7.9</v>
      </c>
      <c r="D180">
        <v>10</v>
      </c>
      <c r="E180">
        <f t="shared" si="8"/>
        <v>79</v>
      </c>
      <c r="F180" s="1">
        <v>2.0593076799999999</v>
      </c>
      <c r="G180" s="3">
        <v>26.067185822784808</v>
      </c>
      <c r="H180" s="1">
        <f t="shared" si="7"/>
        <v>20.2018083408</v>
      </c>
    </row>
    <row r="181" spans="1:8" x14ac:dyDescent="0.25">
      <c r="A181">
        <v>1816</v>
      </c>
      <c r="B181" s="2">
        <v>2273.4699999999998</v>
      </c>
      <c r="C181">
        <v>8.1</v>
      </c>
      <c r="D181">
        <v>10</v>
      </c>
      <c r="E181">
        <f t="shared" si="8"/>
        <v>81</v>
      </c>
      <c r="F181" s="1">
        <v>2.0910591200000002</v>
      </c>
      <c r="G181" s="3">
        <v>25.815544691358024</v>
      </c>
      <c r="H181" s="1">
        <f t="shared" si="7"/>
        <v>20.513289967200002</v>
      </c>
    </row>
    <row r="182" spans="1:8" x14ac:dyDescent="0.25">
      <c r="A182">
        <v>1820</v>
      </c>
      <c r="B182" s="2">
        <v>2293.2399999999998</v>
      </c>
      <c r="C182">
        <v>8.33</v>
      </c>
      <c r="D182">
        <v>10</v>
      </c>
      <c r="E182">
        <f t="shared" si="8"/>
        <v>83.3</v>
      </c>
      <c r="F182" s="1">
        <v>2.1228105600000005</v>
      </c>
      <c r="G182" s="3">
        <v>25.48392028811525</v>
      </c>
      <c r="H182" s="1">
        <f t="shared" si="7"/>
        <v>20.824771593600005</v>
      </c>
    </row>
    <row r="183" spans="1:8" x14ac:dyDescent="0.25">
      <c r="A183">
        <v>1824</v>
      </c>
      <c r="B183" s="2">
        <v>2307.25</v>
      </c>
      <c r="C183">
        <v>8.64</v>
      </c>
      <c r="D183">
        <v>10</v>
      </c>
      <c r="E183">
        <f t="shared" si="8"/>
        <v>86.4</v>
      </c>
      <c r="F183" s="1">
        <v>2.1681697600000001</v>
      </c>
      <c r="G183" s="3">
        <v>25.094557407407407</v>
      </c>
      <c r="H183" s="1">
        <f t="shared" si="7"/>
        <v>21.269745345600001</v>
      </c>
    </row>
    <row r="184" spans="1:8" x14ac:dyDescent="0.25">
      <c r="A184">
        <v>1828</v>
      </c>
      <c r="B184" s="2">
        <v>2332.7399999999998</v>
      </c>
      <c r="C184">
        <v>8.89</v>
      </c>
      <c r="D184">
        <v>10</v>
      </c>
      <c r="E184">
        <f t="shared" si="8"/>
        <v>88.9</v>
      </c>
      <c r="F184" s="1">
        <v>2.2135289600000005</v>
      </c>
      <c r="G184" s="3">
        <v>24.899088413948256</v>
      </c>
      <c r="H184" s="1">
        <f t="shared" si="7"/>
        <v>21.714719097600007</v>
      </c>
    </row>
    <row r="185" spans="1:8" x14ac:dyDescent="0.25">
      <c r="A185">
        <v>1832</v>
      </c>
      <c r="B185" s="2">
        <v>2353</v>
      </c>
      <c r="C185">
        <v>9.14</v>
      </c>
      <c r="D185">
        <v>10</v>
      </c>
      <c r="E185">
        <f t="shared" si="8"/>
        <v>91.4</v>
      </c>
      <c r="F185" s="1">
        <v>2.2724959200000003</v>
      </c>
      <c r="G185" s="3">
        <v>24.86319387308534</v>
      </c>
      <c r="H185" s="1">
        <f t="shared" si="7"/>
        <v>22.293184975200006</v>
      </c>
    </row>
    <row r="186" spans="1:8" x14ac:dyDescent="0.25">
      <c r="A186">
        <v>1836</v>
      </c>
      <c r="B186" s="2">
        <v>2377.84</v>
      </c>
      <c r="C186">
        <v>9.4</v>
      </c>
      <c r="D186">
        <v>10</v>
      </c>
      <c r="E186">
        <f t="shared" si="8"/>
        <v>94</v>
      </c>
      <c r="F186" s="1">
        <v>2.3042473600000002</v>
      </c>
      <c r="G186" s="3">
        <v>24.513269787234041</v>
      </c>
      <c r="H186" s="1">
        <f t="shared" si="7"/>
        <v>22.604666601600002</v>
      </c>
    </row>
    <row r="187" spans="1:8" x14ac:dyDescent="0.25">
      <c r="A187">
        <v>1840</v>
      </c>
      <c r="B187" s="2">
        <v>2398</v>
      </c>
      <c r="C187">
        <v>9.6999999999999993</v>
      </c>
      <c r="D187">
        <v>10</v>
      </c>
      <c r="E187">
        <f t="shared" si="8"/>
        <v>97</v>
      </c>
      <c r="F187" s="1">
        <v>2.3632143200000004</v>
      </c>
      <c r="G187" s="3">
        <v>24.363034226804128</v>
      </c>
      <c r="H187" s="1">
        <f t="shared" si="7"/>
        <v>23.183132479200005</v>
      </c>
    </row>
    <row r="188" spans="1:8" x14ac:dyDescent="0.25">
      <c r="A188">
        <v>1844</v>
      </c>
      <c r="B188" s="2">
        <v>2410.17</v>
      </c>
      <c r="C188">
        <v>10</v>
      </c>
      <c r="D188">
        <v>10</v>
      </c>
      <c r="E188">
        <f t="shared" si="8"/>
        <v>100</v>
      </c>
      <c r="F188" s="1">
        <v>2.40857352</v>
      </c>
      <c r="G188" s="3">
        <v>24.085735199999998</v>
      </c>
      <c r="H188" s="1">
        <f t="shared" si="7"/>
        <v>23.6281062312</v>
      </c>
    </row>
    <row r="189" spans="1:8" x14ac:dyDescent="0.25">
      <c r="A189">
        <v>1848</v>
      </c>
      <c r="B189" s="2">
        <v>2435.89</v>
      </c>
      <c r="C189">
        <v>10.199999999999999</v>
      </c>
      <c r="D189">
        <v>10</v>
      </c>
      <c r="E189">
        <f t="shared" si="8"/>
        <v>102</v>
      </c>
      <c r="F189" s="1">
        <v>2.4539327200000001</v>
      </c>
      <c r="G189" s="3">
        <v>24.058163921568624</v>
      </c>
      <c r="H189" s="1">
        <f t="shared" si="7"/>
        <v>24.073079983200003</v>
      </c>
    </row>
    <row r="190" spans="1:8" x14ac:dyDescent="0.25">
      <c r="A190">
        <v>1852</v>
      </c>
      <c r="B190" s="2">
        <v>2453.29</v>
      </c>
      <c r="C190">
        <v>10.5</v>
      </c>
      <c r="D190">
        <v>10</v>
      </c>
      <c r="E190">
        <f t="shared" si="8"/>
        <v>105</v>
      </c>
      <c r="F190" s="1">
        <v>2.4811482400000004</v>
      </c>
      <c r="G190" s="3">
        <v>23.629983238095239</v>
      </c>
      <c r="H190" s="1">
        <f t="shared" si="7"/>
        <v>24.340064234400007</v>
      </c>
    </row>
    <row r="191" spans="1:8" x14ac:dyDescent="0.25">
      <c r="A191">
        <v>1856</v>
      </c>
      <c r="B191" s="2">
        <v>2481</v>
      </c>
      <c r="C191">
        <v>10.79</v>
      </c>
      <c r="D191">
        <v>10</v>
      </c>
      <c r="E191">
        <f t="shared" si="8"/>
        <v>107.89999999999999</v>
      </c>
      <c r="F191" s="1">
        <v>2.5537229600000004</v>
      </c>
      <c r="G191" s="3">
        <v>23.66749731232623</v>
      </c>
      <c r="H191" s="1">
        <f t="shared" si="7"/>
        <v>25.052022237600006</v>
      </c>
    </row>
    <row r="192" spans="1:8" x14ac:dyDescent="0.25">
      <c r="A192">
        <v>1860</v>
      </c>
      <c r="B192" s="2">
        <v>2499.34</v>
      </c>
      <c r="C192">
        <v>11.04</v>
      </c>
      <c r="D192">
        <v>10</v>
      </c>
      <c r="E192">
        <f t="shared" si="8"/>
        <v>110.39999999999999</v>
      </c>
      <c r="F192" s="1">
        <v>2.5809384800000004</v>
      </c>
      <c r="G192" s="3">
        <v>23.378065942028989</v>
      </c>
      <c r="H192" s="1">
        <f t="shared" si="7"/>
        <v>25.319006488800007</v>
      </c>
    </row>
    <row r="193" spans="1:8" x14ac:dyDescent="0.25">
      <c r="A193">
        <v>1864</v>
      </c>
      <c r="B193" s="2">
        <v>2522.36</v>
      </c>
      <c r="C193">
        <v>11.35</v>
      </c>
      <c r="D193">
        <v>10</v>
      </c>
      <c r="E193">
        <f t="shared" si="8"/>
        <v>113.5</v>
      </c>
      <c r="F193" s="1">
        <v>2.6172258400000001</v>
      </c>
      <c r="G193" s="3">
        <v>23.059258502202642</v>
      </c>
      <c r="H193" s="1">
        <f t="shared" si="7"/>
        <v>25.674985490400001</v>
      </c>
    </row>
    <row r="194" spans="1:8" x14ac:dyDescent="0.25">
      <c r="A194">
        <v>1868</v>
      </c>
      <c r="B194" s="2">
        <v>2542.85</v>
      </c>
      <c r="C194">
        <v>11.6</v>
      </c>
      <c r="D194">
        <v>10</v>
      </c>
      <c r="E194">
        <f t="shared" si="8"/>
        <v>116</v>
      </c>
      <c r="F194" s="1">
        <v>2.6489772800000004</v>
      </c>
      <c r="G194" s="3">
        <v>22.836011034482759</v>
      </c>
      <c r="H194" s="1">
        <f t="shared" si="7"/>
        <v>25.986467116800007</v>
      </c>
    </row>
    <row r="195" spans="1:8" x14ac:dyDescent="0.25">
      <c r="A195">
        <v>1872</v>
      </c>
      <c r="B195" s="2">
        <v>2558.17</v>
      </c>
      <c r="C195">
        <v>11.9</v>
      </c>
      <c r="D195">
        <v>10</v>
      </c>
      <c r="E195">
        <f t="shared" si="8"/>
        <v>119</v>
      </c>
      <c r="F195" s="1">
        <v>2.6852646400000002</v>
      </c>
      <c r="G195" s="3">
        <v>22.565249075630256</v>
      </c>
      <c r="H195" s="1">
        <f t="shared" ref="H195:H202" si="9">F195*9.81</f>
        <v>26.342446118400002</v>
      </c>
    </row>
    <row r="196" spans="1:8" x14ac:dyDescent="0.25">
      <c r="A196">
        <v>1876</v>
      </c>
      <c r="B196" s="2">
        <v>2574.59</v>
      </c>
      <c r="C196">
        <v>12.28</v>
      </c>
      <c r="D196">
        <v>10</v>
      </c>
      <c r="E196">
        <f t="shared" si="8"/>
        <v>122.8</v>
      </c>
      <c r="F196" s="1">
        <v>2.7351597600000002</v>
      </c>
      <c r="G196" s="3">
        <v>22.273287947882736</v>
      </c>
      <c r="H196" s="1">
        <f t="shared" si="9"/>
        <v>26.831917245600003</v>
      </c>
    </row>
    <row r="197" spans="1:8" x14ac:dyDescent="0.25">
      <c r="A197">
        <v>1880</v>
      </c>
      <c r="B197" s="2">
        <v>2601.92</v>
      </c>
      <c r="C197">
        <v>12.44</v>
      </c>
      <c r="D197">
        <v>10</v>
      </c>
      <c r="E197">
        <f t="shared" si="8"/>
        <v>124.39999999999999</v>
      </c>
      <c r="F197" s="1">
        <v>2.7714471199999999</v>
      </c>
      <c r="G197" s="3">
        <v>22.278513826366563</v>
      </c>
      <c r="H197" s="1">
        <f t="shared" si="9"/>
        <v>27.187896247200001</v>
      </c>
    </row>
    <row r="198" spans="1:8" x14ac:dyDescent="0.25">
      <c r="A198">
        <v>1884</v>
      </c>
      <c r="B198" s="2">
        <v>2612.65</v>
      </c>
      <c r="C198">
        <v>12.8</v>
      </c>
      <c r="D198">
        <v>10</v>
      </c>
      <c r="E198">
        <f t="shared" si="8"/>
        <v>128</v>
      </c>
      <c r="F198" s="1">
        <v>2.8213422400000003</v>
      </c>
      <c r="G198" s="3">
        <v>22.041736250000003</v>
      </c>
      <c r="H198" s="1">
        <f t="shared" si="9"/>
        <v>27.677367374400006</v>
      </c>
    </row>
    <row r="199" spans="1:8" x14ac:dyDescent="0.25">
      <c r="A199">
        <v>1888</v>
      </c>
      <c r="B199" s="2">
        <v>2632.98</v>
      </c>
      <c r="C199">
        <v>13.13</v>
      </c>
      <c r="D199">
        <v>10</v>
      </c>
      <c r="E199">
        <f t="shared" si="8"/>
        <v>131.30000000000001</v>
      </c>
      <c r="F199" s="1">
        <v>2.8757732800000002</v>
      </c>
      <c r="G199" s="3">
        <v>21.902309824828638</v>
      </c>
      <c r="H199" s="1">
        <f t="shared" si="9"/>
        <v>28.211335876800003</v>
      </c>
    </row>
    <row r="200" spans="1:8" x14ac:dyDescent="0.25">
      <c r="A200">
        <v>1892</v>
      </c>
      <c r="B200" s="2">
        <v>2657.24</v>
      </c>
      <c r="C200">
        <v>13.4</v>
      </c>
      <c r="D200">
        <v>10</v>
      </c>
      <c r="E200">
        <f t="shared" si="8"/>
        <v>134</v>
      </c>
      <c r="F200" s="1">
        <v>2.8939169600000003</v>
      </c>
      <c r="G200" s="3">
        <v>21.596395223880602</v>
      </c>
      <c r="H200" s="1">
        <f t="shared" si="9"/>
        <v>28.389325377600006</v>
      </c>
    </row>
    <row r="201" spans="1:8" x14ac:dyDescent="0.25">
      <c r="A201">
        <v>1896</v>
      </c>
      <c r="B201" s="2">
        <v>2664.79</v>
      </c>
      <c r="C201">
        <v>13.62</v>
      </c>
      <c r="D201">
        <v>10</v>
      </c>
      <c r="E201">
        <f t="shared" si="8"/>
        <v>136.19999999999999</v>
      </c>
      <c r="F201" s="1">
        <v>2.9165965600000003</v>
      </c>
      <c r="G201" s="3">
        <v>21.414071659324524</v>
      </c>
      <c r="H201" s="1">
        <f t="shared" si="9"/>
        <v>28.611812253600004</v>
      </c>
    </row>
    <row r="202" spans="1:8" x14ac:dyDescent="0.25">
      <c r="A202">
        <v>1900</v>
      </c>
      <c r="B202" s="2">
        <v>2668.0033333333336</v>
      </c>
      <c r="C202">
        <v>13.6</v>
      </c>
      <c r="D202">
        <v>10</v>
      </c>
      <c r="E202">
        <v>135.99999999999997</v>
      </c>
      <c r="F202" s="1">
        <v>2.9256684000000002</v>
      </c>
      <c r="G202" s="3">
        <v>21.512213914496296</v>
      </c>
      <c r="H202" s="1">
        <f t="shared" si="9"/>
        <v>28.700807004000001</v>
      </c>
    </row>
  </sheetData>
  <sortState xmlns:xlrd2="http://schemas.microsoft.com/office/spreadsheetml/2017/richdata2" ref="A2:G203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1A61-12B3-4EE4-A053-FA526CD72EAE}">
  <dimension ref="A1:H202"/>
  <sheetViews>
    <sheetView topLeftCell="A148" workbookViewId="0">
      <selection activeCell="H2" sqref="H2:H202"/>
    </sheetView>
  </sheetViews>
  <sheetFormatPr defaultRowHeight="15" x14ac:dyDescent="0.25"/>
  <cols>
    <col min="1" max="1" width="9.5703125" customWidth="1"/>
    <col min="2" max="2" width="9.140625" style="2"/>
    <col min="3" max="3" width="11" customWidth="1"/>
    <col min="4" max="4" width="11.140625" customWidth="1"/>
    <col min="5" max="5" width="10.7109375" customWidth="1"/>
    <col min="6" max="6" width="11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1100</v>
      </c>
      <c r="B2" s="2">
        <v>2975.7116666666666</v>
      </c>
      <c r="C2" s="1">
        <v>17.031666666666666</v>
      </c>
      <c r="D2">
        <v>12</v>
      </c>
      <c r="E2" s="3">
        <v>204.38</v>
      </c>
      <c r="F2" s="1">
        <v>-2.9037447866666666</v>
      </c>
      <c r="G2" s="3">
        <v>14.207466320948669</v>
      </c>
      <c r="H2">
        <v>-28.4857363572</v>
      </c>
    </row>
    <row r="3" spans="1:8" x14ac:dyDescent="0.25">
      <c r="A3">
        <v>1104</v>
      </c>
      <c r="B3" s="2">
        <v>2968.96</v>
      </c>
      <c r="C3">
        <v>17.079999999999998</v>
      </c>
      <c r="D3">
        <v>12</v>
      </c>
      <c r="E3" s="3">
        <f t="shared" ref="E3:E34" si="0">D3*C3</f>
        <v>204.95999999999998</v>
      </c>
      <c r="F3" s="1">
        <v>-2.9165965599999999</v>
      </c>
      <c r="G3" s="3">
        <v>14.230076893052304</v>
      </c>
      <c r="H3">
        <v>-28.6118122536</v>
      </c>
    </row>
    <row r="4" spans="1:8" x14ac:dyDescent="0.25">
      <c r="A4">
        <v>1108</v>
      </c>
      <c r="B4" s="2">
        <v>2970.72</v>
      </c>
      <c r="C4">
        <v>16.760000000000002</v>
      </c>
      <c r="D4">
        <v>12</v>
      </c>
      <c r="E4" s="3">
        <f t="shared" si="0"/>
        <v>201.12</v>
      </c>
      <c r="F4" s="1">
        <v>-2.8939169599999999</v>
      </c>
      <c r="G4" s="3">
        <v>14.389006364359586</v>
      </c>
      <c r="H4">
        <v>-28.389325377599999</v>
      </c>
    </row>
    <row r="5" spans="1:8" x14ac:dyDescent="0.25">
      <c r="A5">
        <v>1112</v>
      </c>
      <c r="B5" s="2">
        <v>2932.79</v>
      </c>
      <c r="C5">
        <v>16.52</v>
      </c>
      <c r="D5">
        <v>12</v>
      </c>
      <c r="E5" s="3">
        <f t="shared" si="0"/>
        <v>198.24</v>
      </c>
      <c r="F5" s="1">
        <v>-2.8304140800000002</v>
      </c>
      <c r="G5" s="3">
        <v>14.277714285714286</v>
      </c>
      <c r="H5">
        <v>-27.766362124800004</v>
      </c>
    </row>
    <row r="6" spans="1:8" x14ac:dyDescent="0.25">
      <c r="A6">
        <v>1116</v>
      </c>
      <c r="B6" s="2">
        <v>2916.05</v>
      </c>
      <c r="C6">
        <v>16.079999999999998</v>
      </c>
      <c r="D6">
        <v>12</v>
      </c>
      <c r="E6" s="3">
        <f t="shared" si="0"/>
        <v>192.95999999999998</v>
      </c>
      <c r="F6" s="1">
        <v>-2.7850548799999997</v>
      </c>
      <c r="G6" s="3">
        <v>14.433327529021559</v>
      </c>
      <c r="H6">
        <v>-27.321388372799998</v>
      </c>
    </row>
    <row r="7" spans="1:8" x14ac:dyDescent="0.25">
      <c r="A7">
        <v>1120</v>
      </c>
      <c r="B7" s="2">
        <v>2898.02</v>
      </c>
      <c r="C7">
        <v>15.69</v>
      </c>
      <c r="D7">
        <v>12</v>
      </c>
      <c r="E7" s="3">
        <f t="shared" si="0"/>
        <v>188.28</v>
      </c>
      <c r="F7" s="1">
        <v>-2.7623752800000001</v>
      </c>
      <c r="G7" s="3">
        <v>14.671634161886551</v>
      </c>
      <c r="H7">
        <v>-27.098901496800003</v>
      </c>
    </row>
    <row r="8" spans="1:8" x14ac:dyDescent="0.25">
      <c r="A8">
        <v>1124</v>
      </c>
      <c r="B8" s="2">
        <v>2874</v>
      </c>
      <c r="C8">
        <v>15.31</v>
      </c>
      <c r="D8">
        <v>12</v>
      </c>
      <c r="E8" s="3">
        <f t="shared" si="0"/>
        <v>183.72</v>
      </c>
      <c r="F8" s="1">
        <v>-2.721552</v>
      </c>
      <c r="G8" s="3">
        <v>14.813585891574133</v>
      </c>
      <c r="H8">
        <v>-26.69842512</v>
      </c>
    </row>
    <row r="9" spans="1:8" x14ac:dyDescent="0.25">
      <c r="A9">
        <v>1128</v>
      </c>
      <c r="B9" s="2">
        <v>2852.14</v>
      </c>
      <c r="C9">
        <v>15</v>
      </c>
      <c r="D9">
        <v>12</v>
      </c>
      <c r="E9" s="3">
        <f t="shared" si="0"/>
        <v>180</v>
      </c>
      <c r="F9" s="1">
        <v>-2.67165688</v>
      </c>
      <c r="G9" s="3">
        <v>14.84253822222222</v>
      </c>
      <c r="H9">
        <v>-26.208953992800001</v>
      </c>
    </row>
    <row r="10" spans="1:8" x14ac:dyDescent="0.25">
      <c r="A10">
        <v>1132</v>
      </c>
      <c r="B10" s="2">
        <v>2841.15</v>
      </c>
      <c r="C10">
        <v>14.51</v>
      </c>
      <c r="D10">
        <v>12</v>
      </c>
      <c r="E10" s="3">
        <f t="shared" si="0"/>
        <v>174.12</v>
      </c>
      <c r="F10" s="1">
        <v>-2.59908216</v>
      </c>
      <c r="G10" s="3">
        <v>14.926959338387318</v>
      </c>
      <c r="H10">
        <v>-25.496995989600002</v>
      </c>
    </row>
    <row r="11" spans="1:8" x14ac:dyDescent="0.25">
      <c r="A11">
        <v>1136</v>
      </c>
      <c r="B11" s="2">
        <v>2817.28</v>
      </c>
      <c r="C11">
        <v>14.17</v>
      </c>
      <c r="D11">
        <v>12</v>
      </c>
      <c r="E11" s="3">
        <f t="shared" si="0"/>
        <v>170.04</v>
      </c>
      <c r="F11" s="1">
        <v>-2.5945462399999997</v>
      </c>
      <c r="G11" s="3">
        <v>15.258446483180427</v>
      </c>
      <c r="H11">
        <v>-25.4524986144</v>
      </c>
    </row>
    <row r="12" spans="1:8" x14ac:dyDescent="0.25">
      <c r="A12">
        <v>1140</v>
      </c>
      <c r="B12" s="2">
        <v>2792.28</v>
      </c>
      <c r="C12">
        <v>13.82</v>
      </c>
      <c r="D12">
        <v>12</v>
      </c>
      <c r="E12" s="3">
        <f t="shared" si="0"/>
        <v>165.84</v>
      </c>
      <c r="F12" s="1">
        <v>-2.5627948000000003</v>
      </c>
      <c r="G12" s="3">
        <v>15.45341775205017</v>
      </c>
      <c r="H12">
        <v>-25.141016988000004</v>
      </c>
    </row>
    <row r="13" spans="1:8" x14ac:dyDescent="0.25">
      <c r="A13">
        <v>1144</v>
      </c>
      <c r="B13" s="2">
        <v>2773.38</v>
      </c>
      <c r="C13">
        <v>13.46</v>
      </c>
      <c r="D13">
        <v>12</v>
      </c>
      <c r="E13" s="3">
        <f t="shared" si="0"/>
        <v>161.52000000000001</v>
      </c>
      <c r="F13" s="1">
        <v>-2.4947559999999998</v>
      </c>
      <c r="G13" s="3">
        <v>15.445492818226843</v>
      </c>
      <c r="H13">
        <v>-24.47355636</v>
      </c>
    </row>
    <row r="14" spans="1:8" x14ac:dyDescent="0.25">
      <c r="A14">
        <v>1148</v>
      </c>
      <c r="B14" s="2">
        <v>2754.85</v>
      </c>
      <c r="C14">
        <v>13.08</v>
      </c>
      <c r="D14">
        <v>12</v>
      </c>
      <c r="E14" s="3">
        <f t="shared" si="0"/>
        <v>156.96</v>
      </c>
      <c r="F14" s="1">
        <v>-2.4403249599999999</v>
      </c>
      <c r="G14" s="3">
        <v>15.547432212028541</v>
      </c>
      <c r="H14">
        <v>-23.939587857599999</v>
      </c>
    </row>
    <row r="15" spans="1:8" x14ac:dyDescent="0.25">
      <c r="A15">
        <v>1152</v>
      </c>
      <c r="B15" s="2">
        <v>2727.81</v>
      </c>
      <c r="C15">
        <v>12.8</v>
      </c>
      <c r="D15">
        <v>12</v>
      </c>
      <c r="E15" s="3">
        <f t="shared" si="0"/>
        <v>153.60000000000002</v>
      </c>
      <c r="F15" s="1">
        <v>-2.43125312</v>
      </c>
      <c r="G15" s="3">
        <v>15.828470833333331</v>
      </c>
      <c r="H15">
        <v>-23.850593107200002</v>
      </c>
    </row>
    <row r="16" spans="1:8" x14ac:dyDescent="0.25">
      <c r="A16">
        <v>1156</v>
      </c>
      <c r="B16" s="2">
        <v>2714.06</v>
      </c>
      <c r="C16">
        <v>12.4</v>
      </c>
      <c r="D16">
        <v>12</v>
      </c>
      <c r="E16" s="3">
        <f t="shared" si="0"/>
        <v>148.80000000000001</v>
      </c>
      <c r="F16" s="1">
        <v>-2.38589392</v>
      </c>
      <c r="G16" s="3">
        <v>16.034233333333333</v>
      </c>
      <c r="H16">
        <v>-23.405619355200002</v>
      </c>
    </row>
    <row r="17" spans="1:8" x14ac:dyDescent="0.25">
      <c r="A17">
        <v>1160</v>
      </c>
      <c r="B17" s="2">
        <v>2688.86</v>
      </c>
      <c r="C17">
        <v>12</v>
      </c>
      <c r="D17">
        <v>12</v>
      </c>
      <c r="E17" s="3">
        <f t="shared" si="0"/>
        <v>144</v>
      </c>
      <c r="F17" s="1">
        <v>-2.34053472</v>
      </c>
      <c r="G17" s="3">
        <v>16.253713333333334</v>
      </c>
      <c r="H17">
        <v>-22.9606456032</v>
      </c>
    </row>
    <row r="18" spans="1:8" x14ac:dyDescent="0.25">
      <c r="A18">
        <v>1164</v>
      </c>
      <c r="B18" s="2">
        <v>2675.65</v>
      </c>
      <c r="C18">
        <v>11.66</v>
      </c>
      <c r="D18">
        <v>12</v>
      </c>
      <c r="E18" s="3">
        <f t="shared" si="0"/>
        <v>139.92000000000002</v>
      </c>
      <c r="F18" s="1">
        <v>-2.3042473600000002</v>
      </c>
      <c r="G18" s="3">
        <v>16.468320182961691</v>
      </c>
      <c r="H18">
        <v>-22.604666601600002</v>
      </c>
    </row>
    <row r="19" spans="1:8" x14ac:dyDescent="0.25">
      <c r="A19">
        <v>1168</v>
      </c>
      <c r="B19" s="2">
        <v>2653.82</v>
      </c>
      <c r="C19">
        <v>11.31</v>
      </c>
      <c r="D19">
        <v>12</v>
      </c>
      <c r="E19" s="3">
        <f t="shared" si="0"/>
        <v>135.72</v>
      </c>
      <c r="F19" s="1">
        <v>-2.2543522399999998</v>
      </c>
      <c r="G19" s="3">
        <v>16.610317123489537</v>
      </c>
      <c r="H19">
        <v>-22.1151954744</v>
      </c>
    </row>
    <row r="20" spans="1:8" x14ac:dyDescent="0.25">
      <c r="A20">
        <v>1172</v>
      </c>
      <c r="B20" s="2">
        <v>2615.2800000000002</v>
      </c>
      <c r="C20">
        <v>11.1</v>
      </c>
      <c r="D20">
        <v>12</v>
      </c>
      <c r="E20" s="3">
        <f t="shared" si="0"/>
        <v>133.19999999999999</v>
      </c>
      <c r="F20" s="1">
        <v>-2.2271367199999998</v>
      </c>
      <c r="G20" s="3">
        <v>16.720245645645647</v>
      </c>
      <c r="H20">
        <v>-21.8482112232</v>
      </c>
    </row>
    <row r="21" spans="1:8" x14ac:dyDescent="0.25">
      <c r="A21">
        <v>1176</v>
      </c>
      <c r="B21" s="2">
        <v>2609.79</v>
      </c>
      <c r="C21">
        <v>10.74</v>
      </c>
      <c r="D21">
        <v>12</v>
      </c>
      <c r="E21" s="3">
        <f t="shared" si="0"/>
        <v>128.88</v>
      </c>
      <c r="F21" s="1">
        <v>-2.1817775199999998</v>
      </c>
      <c r="G21" s="3">
        <v>16.928751707014275</v>
      </c>
      <c r="H21">
        <v>-21.403237471200001</v>
      </c>
    </row>
    <row r="22" spans="1:8" x14ac:dyDescent="0.25">
      <c r="A22">
        <v>1180</v>
      </c>
      <c r="B22" s="2">
        <v>2575.5</v>
      </c>
      <c r="C22">
        <v>10.5</v>
      </c>
      <c r="D22">
        <v>12</v>
      </c>
      <c r="E22" s="3">
        <f t="shared" si="0"/>
        <v>126</v>
      </c>
      <c r="F22" s="1">
        <v>-2.1409542399999997</v>
      </c>
      <c r="G22" s="3">
        <v>16.991700317460317</v>
      </c>
      <c r="H22">
        <v>-21.002761094399997</v>
      </c>
    </row>
    <row r="23" spans="1:8" x14ac:dyDescent="0.25">
      <c r="A23">
        <v>1184</v>
      </c>
      <c r="B23" s="2">
        <v>2560.25</v>
      </c>
      <c r="C23">
        <v>10.11</v>
      </c>
      <c r="D23">
        <v>12</v>
      </c>
      <c r="E23" s="3">
        <f t="shared" si="0"/>
        <v>121.32</v>
      </c>
      <c r="F23" s="1">
        <v>-2.0955950400000001</v>
      </c>
      <c r="G23" s="3">
        <v>17.273285855588529</v>
      </c>
      <c r="H23">
        <v>-20.557787342400001</v>
      </c>
    </row>
    <row r="24" spans="1:8" x14ac:dyDescent="0.25">
      <c r="A24">
        <v>1188</v>
      </c>
      <c r="B24" s="2">
        <v>2533.3000000000002</v>
      </c>
      <c r="C24">
        <v>9.84</v>
      </c>
      <c r="D24">
        <v>12</v>
      </c>
      <c r="E24" s="3">
        <f t="shared" si="0"/>
        <v>118.08</v>
      </c>
      <c r="F24" s="1">
        <v>-2.0683795199999997</v>
      </c>
      <c r="G24" s="3">
        <v>17.516764227642277</v>
      </c>
      <c r="H24">
        <v>-20.290803091199997</v>
      </c>
    </row>
    <row r="25" spans="1:8" x14ac:dyDescent="0.25">
      <c r="A25">
        <v>1192</v>
      </c>
      <c r="B25" s="2">
        <v>2509.9299999999998</v>
      </c>
      <c r="C25">
        <v>9.5</v>
      </c>
      <c r="D25">
        <v>12</v>
      </c>
      <c r="E25" s="3">
        <f t="shared" si="0"/>
        <v>114</v>
      </c>
      <c r="F25" s="1">
        <v>-2.0094125599999999</v>
      </c>
      <c r="G25" s="3">
        <v>17.626425964912279</v>
      </c>
      <c r="H25">
        <v>-19.712337213600001</v>
      </c>
    </row>
    <row r="26" spans="1:8" x14ac:dyDescent="0.25">
      <c r="A26">
        <v>1196</v>
      </c>
      <c r="B26" s="2">
        <v>2482.4</v>
      </c>
      <c r="C26">
        <v>9.1999999999999993</v>
      </c>
      <c r="D26">
        <v>12</v>
      </c>
      <c r="E26" s="3">
        <f t="shared" si="0"/>
        <v>110.39999999999999</v>
      </c>
      <c r="F26" s="1">
        <v>-1.98219704</v>
      </c>
      <c r="G26" s="3">
        <v>17.954683333333335</v>
      </c>
      <c r="H26">
        <v>-19.445352962400001</v>
      </c>
    </row>
    <row r="27" spans="1:8" x14ac:dyDescent="0.25">
      <c r="A27">
        <v>1200</v>
      </c>
      <c r="B27" s="2">
        <v>2457.0700000000002</v>
      </c>
      <c r="C27">
        <v>8.9</v>
      </c>
      <c r="D27">
        <v>12</v>
      </c>
      <c r="E27" s="3">
        <f t="shared" si="0"/>
        <v>106.80000000000001</v>
      </c>
      <c r="F27" s="1">
        <v>-1.94590968</v>
      </c>
      <c r="G27" s="3">
        <v>18.220128089887638</v>
      </c>
      <c r="H27">
        <v>-19.0893739608</v>
      </c>
    </row>
    <row r="28" spans="1:8" x14ac:dyDescent="0.25">
      <c r="A28">
        <v>1204</v>
      </c>
      <c r="B28" s="2">
        <v>2443.1</v>
      </c>
      <c r="C28">
        <v>8.6</v>
      </c>
      <c r="D28">
        <v>12</v>
      </c>
      <c r="E28" s="3">
        <f t="shared" si="0"/>
        <v>103.19999999999999</v>
      </c>
      <c r="F28" s="1">
        <v>-1.8824068</v>
      </c>
      <c r="G28" s="3">
        <v>18.240375968992254</v>
      </c>
      <c r="H28">
        <v>-18.466410708000002</v>
      </c>
    </row>
    <row r="29" spans="1:8" x14ac:dyDescent="0.25">
      <c r="A29">
        <v>1208</v>
      </c>
      <c r="B29" s="2">
        <v>2412.27</v>
      </c>
      <c r="C29">
        <v>8.3000000000000007</v>
      </c>
      <c r="D29">
        <v>12</v>
      </c>
      <c r="E29" s="3">
        <f t="shared" si="0"/>
        <v>99.600000000000009</v>
      </c>
      <c r="F29" s="1">
        <v>-1.8461194400000001</v>
      </c>
      <c r="G29" s="3">
        <v>18.535335742971888</v>
      </c>
      <c r="H29">
        <v>-18.1104317064</v>
      </c>
    </row>
    <row r="30" spans="1:8" x14ac:dyDescent="0.25">
      <c r="A30">
        <v>1212</v>
      </c>
      <c r="B30" s="2">
        <v>2382.61</v>
      </c>
      <c r="C30">
        <v>8</v>
      </c>
      <c r="D30">
        <v>12</v>
      </c>
      <c r="E30" s="3">
        <f t="shared" si="0"/>
        <v>96</v>
      </c>
      <c r="F30" s="1">
        <v>-1.8052961599999999</v>
      </c>
      <c r="G30" s="3">
        <v>18.805168333333331</v>
      </c>
      <c r="H30">
        <v>-17.7099553296</v>
      </c>
    </row>
    <row r="31" spans="1:8" x14ac:dyDescent="0.25">
      <c r="A31">
        <v>1216</v>
      </c>
      <c r="B31" s="2">
        <v>2364.7600000000002</v>
      </c>
      <c r="C31">
        <v>7.7</v>
      </c>
      <c r="D31">
        <v>12</v>
      </c>
      <c r="E31" s="3">
        <f t="shared" si="0"/>
        <v>92.4</v>
      </c>
      <c r="F31" s="1">
        <v>-1.77808064</v>
      </c>
      <c r="G31" s="3">
        <v>19.243296969696967</v>
      </c>
      <c r="H31">
        <v>-17.442971078399999</v>
      </c>
    </row>
    <row r="32" spans="1:8" x14ac:dyDescent="0.25">
      <c r="A32">
        <v>1220</v>
      </c>
      <c r="B32" s="2">
        <v>2335.0700000000002</v>
      </c>
      <c r="C32">
        <v>7.4</v>
      </c>
      <c r="D32">
        <v>12</v>
      </c>
      <c r="E32" s="3">
        <f t="shared" si="0"/>
        <v>88.800000000000011</v>
      </c>
      <c r="F32" s="1">
        <v>-1.7327214399999999</v>
      </c>
      <c r="G32" s="3">
        <v>19.512628828828824</v>
      </c>
      <c r="H32">
        <v>-16.9979973264</v>
      </c>
    </row>
    <row r="33" spans="1:8" x14ac:dyDescent="0.25">
      <c r="A33">
        <v>1224</v>
      </c>
      <c r="B33" s="2">
        <v>2317.79</v>
      </c>
      <c r="C33">
        <v>7.1</v>
      </c>
      <c r="D33">
        <v>12</v>
      </c>
      <c r="E33" s="3">
        <f t="shared" si="0"/>
        <v>85.199999999999989</v>
      </c>
      <c r="F33" s="1">
        <v>-1.6646826399999999</v>
      </c>
      <c r="G33" s="3">
        <v>19.538528638497656</v>
      </c>
      <c r="H33">
        <v>-16.3305366984</v>
      </c>
    </row>
    <row r="34" spans="1:8" x14ac:dyDescent="0.25">
      <c r="A34">
        <v>1228</v>
      </c>
      <c r="B34" s="2">
        <v>2283.62</v>
      </c>
      <c r="C34">
        <v>6.9</v>
      </c>
      <c r="D34">
        <v>12</v>
      </c>
      <c r="E34" s="3">
        <f t="shared" si="0"/>
        <v>82.800000000000011</v>
      </c>
      <c r="F34" s="1">
        <v>-1.6510748800000001</v>
      </c>
      <c r="G34" s="3">
        <v>19.940517874396132</v>
      </c>
      <c r="H34">
        <v>-16.197044572800003</v>
      </c>
    </row>
    <row r="35" spans="1:8" x14ac:dyDescent="0.25">
      <c r="A35">
        <v>1232</v>
      </c>
      <c r="B35" s="2">
        <v>2259.9899999999998</v>
      </c>
      <c r="C35">
        <v>6.6</v>
      </c>
      <c r="D35">
        <v>12</v>
      </c>
      <c r="E35" s="3">
        <f t="shared" ref="E35:E66" si="1">D35*C35</f>
        <v>79.199999999999989</v>
      </c>
      <c r="F35" s="1">
        <v>-1.6102516</v>
      </c>
      <c r="G35" s="3">
        <v>20.331459595959597</v>
      </c>
      <c r="H35">
        <v>-15.796568196000001</v>
      </c>
    </row>
    <row r="36" spans="1:8" x14ac:dyDescent="0.25">
      <c r="A36">
        <v>1236</v>
      </c>
      <c r="B36" s="2">
        <v>2230.62</v>
      </c>
      <c r="C36">
        <v>6.4</v>
      </c>
      <c r="D36">
        <v>12</v>
      </c>
      <c r="E36" s="3">
        <f t="shared" si="1"/>
        <v>76.800000000000011</v>
      </c>
      <c r="F36" s="1">
        <v>-1.56035648</v>
      </c>
      <c r="G36" s="3">
        <v>20.317141666666661</v>
      </c>
      <c r="H36">
        <v>-15.307097068800001</v>
      </c>
    </row>
    <row r="37" spans="1:8" x14ac:dyDescent="0.25">
      <c r="A37">
        <v>1240</v>
      </c>
      <c r="B37" s="2">
        <v>2207.79</v>
      </c>
      <c r="C37">
        <v>6.2</v>
      </c>
      <c r="D37">
        <v>12</v>
      </c>
      <c r="E37" s="3">
        <f t="shared" si="1"/>
        <v>74.400000000000006</v>
      </c>
      <c r="F37" s="1">
        <v>-1.5331409599999999</v>
      </c>
      <c r="G37" s="3">
        <v>20.606733333333331</v>
      </c>
      <c r="H37">
        <v>-15.040112817599999</v>
      </c>
    </row>
    <row r="38" spans="1:8" x14ac:dyDescent="0.25">
      <c r="A38">
        <v>1244</v>
      </c>
      <c r="B38" s="2">
        <v>2188.54</v>
      </c>
      <c r="C38">
        <v>5.99</v>
      </c>
      <c r="D38">
        <v>12</v>
      </c>
      <c r="E38" s="3">
        <f t="shared" si="1"/>
        <v>71.88</v>
      </c>
      <c r="F38" s="1">
        <v>-1.49231768</v>
      </c>
      <c r="G38" s="3">
        <v>20.76123650528659</v>
      </c>
      <c r="H38">
        <v>-14.6396364408</v>
      </c>
    </row>
    <row r="39" spans="1:8" x14ac:dyDescent="0.25">
      <c r="A39">
        <v>1248</v>
      </c>
      <c r="B39" s="2">
        <v>2159.0300000000002</v>
      </c>
      <c r="C39">
        <v>5.77</v>
      </c>
      <c r="D39">
        <v>12</v>
      </c>
      <c r="E39" s="3">
        <f t="shared" si="1"/>
        <v>69.239999999999995</v>
      </c>
      <c r="F39" s="1">
        <v>-1.4696380800000002</v>
      </c>
      <c r="G39" s="3">
        <v>21.225275563258233</v>
      </c>
      <c r="H39">
        <v>-14.417149564800003</v>
      </c>
    </row>
    <row r="40" spans="1:8" x14ac:dyDescent="0.25">
      <c r="A40">
        <v>1252</v>
      </c>
      <c r="B40" s="2">
        <v>2139.9699999999998</v>
      </c>
      <c r="C40">
        <v>5.5</v>
      </c>
      <c r="D40">
        <v>12</v>
      </c>
      <c r="E40" s="3">
        <f t="shared" si="1"/>
        <v>66</v>
      </c>
      <c r="F40" s="1">
        <v>-1.4378866399999999</v>
      </c>
      <c r="G40" s="3">
        <v>21.786161212121211</v>
      </c>
      <c r="H40">
        <v>-14.1056679384</v>
      </c>
    </row>
    <row r="41" spans="1:8" x14ac:dyDescent="0.25">
      <c r="A41">
        <v>1256</v>
      </c>
      <c r="B41" s="2">
        <v>2105.91</v>
      </c>
      <c r="C41">
        <v>5.32</v>
      </c>
      <c r="D41">
        <v>12</v>
      </c>
      <c r="E41" s="3">
        <f t="shared" si="1"/>
        <v>63.84</v>
      </c>
      <c r="F41" s="1">
        <v>-1.39706336</v>
      </c>
      <c r="G41" s="3">
        <v>21.883824561403507</v>
      </c>
      <c r="H41">
        <v>-13.705191561600001</v>
      </c>
    </row>
    <row r="42" spans="1:8" x14ac:dyDescent="0.25">
      <c r="A42">
        <v>1260</v>
      </c>
      <c r="B42" s="2">
        <v>2081.8200000000002</v>
      </c>
      <c r="C42">
        <v>5.17</v>
      </c>
      <c r="D42">
        <v>12</v>
      </c>
      <c r="E42" s="3">
        <f t="shared" si="1"/>
        <v>62.04</v>
      </c>
      <c r="F42" s="1">
        <v>-1.36984784</v>
      </c>
      <c r="G42" s="3">
        <v>22.080074790457768</v>
      </c>
      <c r="H42">
        <v>-13.438207310400001</v>
      </c>
    </row>
    <row r="43" spans="1:8" x14ac:dyDescent="0.25">
      <c r="A43">
        <v>1264</v>
      </c>
      <c r="B43" s="2">
        <v>2057.38</v>
      </c>
      <c r="C43">
        <v>4.9000000000000004</v>
      </c>
      <c r="D43">
        <v>12</v>
      </c>
      <c r="E43" s="3">
        <f t="shared" si="1"/>
        <v>58.800000000000004</v>
      </c>
      <c r="F43" s="1">
        <v>-1.33356048</v>
      </c>
      <c r="G43" s="3">
        <v>22.679599999999997</v>
      </c>
      <c r="H43">
        <v>-13.082228308800001</v>
      </c>
    </row>
    <row r="44" spans="1:8" x14ac:dyDescent="0.25">
      <c r="A44">
        <v>1268</v>
      </c>
      <c r="B44" s="2">
        <v>2038.07</v>
      </c>
      <c r="C44">
        <v>4.7</v>
      </c>
      <c r="D44">
        <v>12</v>
      </c>
      <c r="E44" s="3">
        <f t="shared" si="1"/>
        <v>56.400000000000006</v>
      </c>
      <c r="F44" s="1">
        <v>-1.2927371999999999</v>
      </c>
      <c r="G44" s="3">
        <v>22.920872340425529</v>
      </c>
      <c r="H44">
        <v>-12.681751931999999</v>
      </c>
    </row>
    <row r="45" spans="1:8" x14ac:dyDescent="0.25">
      <c r="A45">
        <v>1272</v>
      </c>
      <c r="B45" s="2">
        <v>2006</v>
      </c>
      <c r="C45">
        <v>4.5599999999999996</v>
      </c>
      <c r="D45">
        <v>12</v>
      </c>
      <c r="E45" s="3">
        <f t="shared" si="1"/>
        <v>54.72</v>
      </c>
      <c r="F45" s="1">
        <v>-1.27912944</v>
      </c>
      <c r="G45" s="3">
        <v>23.37590350877193</v>
      </c>
      <c r="H45">
        <v>-12.548259806400001</v>
      </c>
    </row>
    <row r="46" spans="1:8" x14ac:dyDescent="0.25">
      <c r="A46">
        <v>1276</v>
      </c>
      <c r="B46" s="2">
        <v>1981.95</v>
      </c>
      <c r="C46">
        <v>4.3</v>
      </c>
      <c r="D46">
        <v>12</v>
      </c>
      <c r="E46" s="3">
        <f t="shared" si="1"/>
        <v>51.599999999999994</v>
      </c>
      <c r="F46" s="1">
        <v>-1.2201624799999999</v>
      </c>
      <c r="G46" s="3">
        <v>23.646559689922483</v>
      </c>
      <c r="H46">
        <v>-11.9697939288</v>
      </c>
    </row>
    <row r="47" spans="1:8" x14ac:dyDescent="0.25">
      <c r="A47">
        <v>1280</v>
      </c>
      <c r="B47" s="2">
        <v>1954.6</v>
      </c>
      <c r="C47">
        <v>4.0999999999999996</v>
      </c>
      <c r="D47">
        <v>12</v>
      </c>
      <c r="E47" s="3">
        <f t="shared" si="1"/>
        <v>49.199999999999996</v>
      </c>
      <c r="F47" s="1">
        <v>-1.19294696</v>
      </c>
      <c r="G47" s="3">
        <v>24.24688943089431</v>
      </c>
      <c r="H47">
        <v>-11.702809677600001</v>
      </c>
    </row>
    <row r="48" spans="1:8" x14ac:dyDescent="0.25">
      <c r="A48">
        <v>1284</v>
      </c>
      <c r="B48" s="2">
        <v>1925.41</v>
      </c>
      <c r="C48">
        <v>3.9</v>
      </c>
      <c r="D48">
        <v>12</v>
      </c>
      <c r="E48" s="3">
        <f t="shared" si="1"/>
        <v>46.8</v>
      </c>
      <c r="F48" s="1">
        <v>-1.1521236800000001</v>
      </c>
      <c r="G48" s="3">
        <v>24.618027350427351</v>
      </c>
      <c r="H48">
        <v>-11.302333300800001</v>
      </c>
    </row>
    <row r="49" spans="1:8" x14ac:dyDescent="0.25">
      <c r="A49">
        <v>1288</v>
      </c>
      <c r="B49" s="2">
        <v>1898.2</v>
      </c>
      <c r="C49">
        <v>3.73</v>
      </c>
      <c r="D49">
        <v>12</v>
      </c>
      <c r="E49" s="3">
        <f t="shared" si="1"/>
        <v>44.76</v>
      </c>
      <c r="F49" s="1">
        <v>-1.1158363199999999</v>
      </c>
      <c r="G49" s="3">
        <v>24.929319034852547</v>
      </c>
      <c r="H49">
        <v>-10.946354299199999</v>
      </c>
    </row>
    <row r="50" spans="1:8" x14ac:dyDescent="0.25">
      <c r="A50">
        <v>1292</v>
      </c>
      <c r="B50" s="2">
        <v>1869.32</v>
      </c>
      <c r="C50">
        <v>3.6</v>
      </c>
      <c r="D50">
        <v>12</v>
      </c>
      <c r="E50" s="3">
        <f t="shared" si="1"/>
        <v>43.2</v>
      </c>
      <c r="F50" s="1">
        <v>-1.08408488</v>
      </c>
      <c r="G50" s="3">
        <v>25.094557407407407</v>
      </c>
      <c r="H50">
        <v>-10.6348726728</v>
      </c>
    </row>
    <row r="51" spans="1:8" x14ac:dyDescent="0.25">
      <c r="A51">
        <v>1296</v>
      </c>
      <c r="B51" s="2">
        <v>1846.03</v>
      </c>
      <c r="C51">
        <v>3.4</v>
      </c>
      <c r="D51">
        <v>12</v>
      </c>
      <c r="E51" s="3">
        <f t="shared" si="1"/>
        <v>40.799999999999997</v>
      </c>
      <c r="F51" s="1">
        <v>-1.0432615999999999</v>
      </c>
      <c r="G51" s="3">
        <v>25.570137254901958</v>
      </c>
      <c r="H51">
        <v>-10.234396296</v>
      </c>
    </row>
    <row r="52" spans="1:8" x14ac:dyDescent="0.25">
      <c r="A52">
        <v>1300</v>
      </c>
      <c r="B52" s="2">
        <v>1815.13</v>
      </c>
      <c r="C52">
        <v>3.3</v>
      </c>
      <c r="D52">
        <v>12</v>
      </c>
      <c r="E52" s="3">
        <f t="shared" si="1"/>
        <v>39.599999999999994</v>
      </c>
      <c r="F52" s="1">
        <v>-1.0205820000000001</v>
      </c>
      <c r="G52" s="3">
        <v>25.772272727272732</v>
      </c>
      <c r="H52">
        <v>-10.011909420000002</v>
      </c>
    </row>
    <row r="53" spans="1:8" x14ac:dyDescent="0.25">
      <c r="A53">
        <v>1304</v>
      </c>
      <c r="B53" s="2">
        <v>1788.29</v>
      </c>
      <c r="C53">
        <v>3.1</v>
      </c>
      <c r="D53">
        <v>12</v>
      </c>
      <c r="E53" s="3">
        <f t="shared" si="1"/>
        <v>37.200000000000003</v>
      </c>
      <c r="F53" s="1">
        <v>-0.99336647999999994</v>
      </c>
      <c r="G53" s="3">
        <v>26.703399999999995</v>
      </c>
      <c r="H53">
        <v>-9.7449251688</v>
      </c>
    </row>
    <row r="54" spans="1:8" x14ac:dyDescent="0.25">
      <c r="A54">
        <v>1308</v>
      </c>
      <c r="B54" s="2">
        <v>1762.78</v>
      </c>
      <c r="C54">
        <v>2.98</v>
      </c>
      <c r="D54">
        <v>12</v>
      </c>
      <c r="E54" s="3">
        <f t="shared" si="1"/>
        <v>35.76</v>
      </c>
      <c r="F54" s="1">
        <v>-0.96161504000000009</v>
      </c>
      <c r="G54" s="3">
        <v>26.890800894854589</v>
      </c>
      <c r="H54">
        <v>-9.4334435424000009</v>
      </c>
    </row>
    <row r="55" spans="1:8" x14ac:dyDescent="0.25">
      <c r="A55">
        <v>1312</v>
      </c>
      <c r="B55" s="2">
        <v>1736.5</v>
      </c>
      <c r="C55">
        <v>2.8</v>
      </c>
      <c r="D55">
        <v>12</v>
      </c>
      <c r="E55" s="3">
        <f t="shared" si="1"/>
        <v>33.599999999999994</v>
      </c>
      <c r="F55" s="1">
        <v>-0.9298635999999999</v>
      </c>
      <c r="G55" s="3">
        <v>27.674511904761907</v>
      </c>
      <c r="H55">
        <v>-9.1219619160000001</v>
      </c>
    </row>
    <row r="56" spans="1:8" x14ac:dyDescent="0.25">
      <c r="A56">
        <v>1316</v>
      </c>
      <c r="B56" s="2">
        <v>1708.11</v>
      </c>
      <c r="C56">
        <v>2.7</v>
      </c>
      <c r="D56">
        <v>12</v>
      </c>
      <c r="E56" s="3">
        <f t="shared" si="1"/>
        <v>32.400000000000006</v>
      </c>
      <c r="F56" s="1">
        <v>-0.90264807999999996</v>
      </c>
      <c r="G56" s="3">
        <v>27.859508641975303</v>
      </c>
      <c r="H56">
        <v>-8.8549776647999998</v>
      </c>
    </row>
    <row r="57" spans="1:8" x14ac:dyDescent="0.25">
      <c r="A57">
        <v>1320</v>
      </c>
      <c r="B57" s="2">
        <v>1680.94</v>
      </c>
      <c r="C57">
        <v>2.41</v>
      </c>
      <c r="D57">
        <v>12</v>
      </c>
      <c r="E57" s="3">
        <f t="shared" si="1"/>
        <v>28.92</v>
      </c>
      <c r="F57" s="1">
        <v>-0.87089664</v>
      </c>
      <c r="G57" s="3">
        <v>30.11399170124481</v>
      </c>
      <c r="H57">
        <v>-8.5434960384000007</v>
      </c>
    </row>
    <row r="58" spans="1:8" x14ac:dyDescent="0.25">
      <c r="A58">
        <v>1324</v>
      </c>
      <c r="B58" s="2">
        <v>1650.54</v>
      </c>
      <c r="C58">
        <v>2.2999999999999998</v>
      </c>
      <c r="D58">
        <v>12</v>
      </c>
      <c r="E58" s="3">
        <f t="shared" si="1"/>
        <v>27.599999999999998</v>
      </c>
      <c r="F58" s="1">
        <v>-0.83460928000000001</v>
      </c>
      <c r="G58" s="3">
        <v>30.239466666666669</v>
      </c>
      <c r="H58">
        <v>-8.187517036800001</v>
      </c>
    </row>
    <row r="59" spans="1:8" x14ac:dyDescent="0.25">
      <c r="A59">
        <v>1328</v>
      </c>
      <c r="B59" s="2">
        <v>1619.71</v>
      </c>
      <c r="C59">
        <v>2.1</v>
      </c>
      <c r="D59">
        <v>12</v>
      </c>
      <c r="E59" s="3">
        <f t="shared" si="1"/>
        <v>25.200000000000003</v>
      </c>
      <c r="F59" s="1">
        <v>-0.79378599999999999</v>
      </c>
      <c r="G59" s="3">
        <v>31.499444444444439</v>
      </c>
      <c r="H59">
        <v>-7.7870406600000006</v>
      </c>
    </row>
    <row r="60" spans="1:8" x14ac:dyDescent="0.25">
      <c r="A60">
        <v>1332</v>
      </c>
      <c r="B60" s="2">
        <v>1587.6</v>
      </c>
      <c r="C60">
        <v>2</v>
      </c>
      <c r="D60">
        <v>12</v>
      </c>
      <c r="E60" s="3">
        <f t="shared" si="1"/>
        <v>24</v>
      </c>
      <c r="F60" s="1">
        <v>-0.77110639999999997</v>
      </c>
      <c r="G60" s="3">
        <v>32.129433333333331</v>
      </c>
      <c r="H60">
        <v>-7.5645537840000001</v>
      </c>
    </row>
    <row r="61" spans="1:8" x14ac:dyDescent="0.25">
      <c r="A61">
        <v>1336</v>
      </c>
      <c r="B61" s="2">
        <v>1557.43</v>
      </c>
      <c r="C61">
        <v>1.9</v>
      </c>
      <c r="D61">
        <v>12</v>
      </c>
      <c r="E61" s="3">
        <f t="shared" si="1"/>
        <v>22.799999999999997</v>
      </c>
      <c r="F61" s="1">
        <v>-0.73935495999999989</v>
      </c>
      <c r="G61" s="3">
        <v>32.427849122807018</v>
      </c>
      <c r="H61">
        <v>-7.2530721575999992</v>
      </c>
    </row>
    <row r="62" spans="1:8" x14ac:dyDescent="0.25">
      <c r="A62">
        <v>1340</v>
      </c>
      <c r="B62" s="2">
        <v>1528.96</v>
      </c>
      <c r="C62">
        <v>1.8</v>
      </c>
      <c r="D62">
        <v>12</v>
      </c>
      <c r="E62" s="3">
        <f t="shared" si="1"/>
        <v>21.6</v>
      </c>
      <c r="F62" s="1">
        <v>-0.72121128000000001</v>
      </c>
      <c r="G62" s="3">
        <v>33.389411111111109</v>
      </c>
      <c r="H62">
        <v>-7.0750826568000003</v>
      </c>
    </row>
    <row r="63" spans="1:8" x14ac:dyDescent="0.25">
      <c r="A63">
        <v>1344</v>
      </c>
      <c r="B63" s="2">
        <v>1503.77</v>
      </c>
      <c r="C63">
        <v>1.7</v>
      </c>
      <c r="D63">
        <v>12</v>
      </c>
      <c r="E63" s="3">
        <f t="shared" si="1"/>
        <v>20.399999999999999</v>
      </c>
      <c r="F63" s="1">
        <v>-0.69399575999999996</v>
      </c>
      <c r="G63" s="3">
        <v>34.019400000000005</v>
      </c>
      <c r="H63">
        <v>-6.8080984056</v>
      </c>
    </row>
    <row r="64" spans="1:8" x14ac:dyDescent="0.25">
      <c r="A64">
        <v>1348</v>
      </c>
      <c r="B64" s="2">
        <v>1470.02</v>
      </c>
      <c r="C64">
        <v>1.6</v>
      </c>
      <c r="D64">
        <v>12</v>
      </c>
      <c r="E64" s="3">
        <f t="shared" si="1"/>
        <v>19.200000000000003</v>
      </c>
      <c r="F64" s="1">
        <v>-0.65770839999999997</v>
      </c>
      <c r="G64" s="3">
        <v>34.255645833333325</v>
      </c>
      <c r="H64">
        <v>-6.4521194040000003</v>
      </c>
    </row>
    <row r="65" spans="1:8" x14ac:dyDescent="0.25">
      <c r="A65" s="4">
        <v>1352</v>
      </c>
      <c r="B65" s="5">
        <v>1439</v>
      </c>
      <c r="C65" s="4">
        <v>1.5</v>
      </c>
      <c r="D65" s="4">
        <v>12</v>
      </c>
      <c r="E65" s="6">
        <f t="shared" si="1"/>
        <v>18</v>
      </c>
      <c r="F65" s="1">
        <v>-0.63956471999999998</v>
      </c>
      <c r="G65" s="6">
        <v>35.531373333333335</v>
      </c>
      <c r="H65">
        <v>-6.2741299032000004</v>
      </c>
    </row>
    <row r="66" spans="1:8" x14ac:dyDescent="0.25">
      <c r="A66">
        <v>1356</v>
      </c>
      <c r="B66" s="2">
        <v>1411.34</v>
      </c>
      <c r="C66">
        <v>1.31</v>
      </c>
      <c r="D66">
        <v>12</v>
      </c>
      <c r="E66" s="3">
        <f t="shared" si="1"/>
        <v>15.72</v>
      </c>
      <c r="F66" s="1">
        <v>-0.60327735999999998</v>
      </c>
      <c r="G66" s="3">
        <v>38.37642239185751</v>
      </c>
      <c r="H66">
        <v>-5.9181509015999998</v>
      </c>
    </row>
    <row r="67" spans="1:8" x14ac:dyDescent="0.25">
      <c r="A67">
        <v>1360</v>
      </c>
      <c r="B67" s="2">
        <v>1374.64</v>
      </c>
      <c r="C67">
        <v>1.3</v>
      </c>
      <c r="D67">
        <v>12</v>
      </c>
      <c r="E67" s="3">
        <f t="shared" ref="E67:E98" si="2">D67*C67</f>
        <v>15.600000000000001</v>
      </c>
      <c r="F67" s="1">
        <v>-0.57152592000000002</v>
      </c>
      <c r="G67" s="3">
        <v>36.636276923076913</v>
      </c>
      <c r="H67">
        <v>-5.6066692752000007</v>
      </c>
    </row>
    <row r="68" spans="1:8" x14ac:dyDescent="0.25">
      <c r="A68">
        <v>1364</v>
      </c>
      <c r="B68" s="2">
        <v>1338.26</v>
      </c>
      <c r="C68">
        <v>1.2</v>
      </c>
      <c r="D68">
        <v>12</v>
      </c>
      <c r="E68" s="3">
        <f t="shared" si="2"/>
        <v>14.399999999999999</v>
      </c>
      <c r="F68" s="1">
        <v>-0.54431039999999997</v>
      </c>
      <c r="G68" s="3">
        <v>37.799333333333337</v>
      </c>
      <c r="H68">
        <v>-5.3396850239999996</v>
      </c>
    </row>
    <row r="69" spans="1:8" x14ac:dyDescent="0.25">
      <c r="A69">
        <v>1368</v>
      </c>
      <c r="B69" s="2">
        <v>1308.5</v>
      </c>
      <c r="C69">
        <v>1.1000000000000001</v>
      </c>
      <c r="D69">
        <v>12</v>
      </c>
      <c r="E69" s="3">
        <f t="shared" si="2"/>
        <v>13.200000000000001</v>
      </c>
      <c r="F69" s="1">
        <v>-0.51709487999999992</v>
      </c>
      <c r="G69" s="3">
        <v>39.173854545454539</v>
      </c>
      <c r="H69">
        <v>-5.0727007727999993</v>
      </c>
    </row>
    <row r="70" spans="1:8" x14ac:dyDescent="0.25">
      <c r="A70">
        <v>1372</v>
      </c>
      <c r="B70" s="2">
        <v>1276.3499999999999</v>
      </c>
      <c r="C70">
        <v>1</v>
      </c>
      <c r="D70">
        <v>12</v>
      </c>
      <c r="E70" s="3">
        <f t="shared" si="2"/>
        <v>12</v>
      </c>
      <c r="F70" s="1">
        <v>-0.49441528000000001</v>
      </c>
      <c r="G70" s="3">
        <v>41.201273333333333</v>
      </c>
      <c r="H70">
        <v>-4.8502138968000006</v>
      </c>
    </row>
    <row r="71" spans="1:8" x14ac:dyDescent="0.25">
      <c r="A71">
        <v>1376</v>
      </c>
      <c r="B71" s="2">
        <v>1246.03</v>
      </c>
      <c r="C71">
        <v>0.9</v>
      </c>
      <c r="D71">
        <v>12</v>
      </c>
      <c r="E71" s="3">
        <f t="shared" si="2"/>
        <v>10.8</v>
      </c>
      <c r="F71" s="1">
        <v>-0.47173567999999999</v>
      </c>
      <c r="G71" s="3">
        <v>43.679229629629624</v>
      </c>
      <c r="H71">
        <v>-4.6277270208000001</v>
      </c>
    </row>
    <row r="72" spans="1:8" x14ac:dyDescent="0.25">
      <c r="A72">
        <v>1380</v>
      </c>
      <c r="B72" s="2">
        <v>1210.53</v>
      </c>
      <c r="C72">
        <v>0.8</v>
      </c>
      <c r="D72">
        <v>12</v>
      </c>
      <c r="E72" s="3">
        <f t="shared" si="2"/>
        <v>9.6000000000000014</v>
      </c>
      <c r="F72" s="1">
        <v>-0.43998423999999997</v>
      </c>
      <c r="G72" s="3">
        <v>45.831691666666657</v>
      </c>
      <c r="H72">
        <v>-4.3162453944000001</v>
      </c>
    </row>
    <row r="73" spans="1:8" x14ac:dyDescent="0.25">
      <c r="A73">
        <v>1384</v>
      </c>
      <c r="B73" s="2">
        <v>1168.5</v>
      </c>
      <c r="C73">
        <v>0.8</v>
      </c>
      <c r="D73">
        <v>12</v>
      </c>
      <c r="E73" s="3">
        <f t="shared" si="2"/>
        <v>9.6000000000000014</v>
      </c>
      <c r="F73" s="1">
        <v>-0.41730464</v>
      </c>
      <c r="G73" s="3">
        <v>43.469233333333328</v>
      </c>
      <c r="H73">
        <v>-4.0937585184000005</v>
      </c>
    </row>
    <row r="74" spans="1:8" x14ac:dyDescent="0.25">
      <c r="A74">
        <v>1388</v>
      </c>
      <c r="B74" s="2">
        <v>1134.26</v>
      </c>
      <c r="C74">
        <v>0.7</v>
      </c>
      <c r="D74">
        <v>12</v>
      </c>
      <c r="E74" s="3">
        <f t="shared" si="2"/>
        <v>8.3999999999999986</v>
      </c>
      <c r="F74" s="1">
        <v>-0.39008912000000001</v>
      </c>
      <c r="G74" s="3">
        <v>46.439180952380958</v>
      </c>
      <c r="H74">
        <v>-3.8267742672000002</v>
      </c>
    </row>
    <row r="75" spans="1:8" x14ac:dyDescent="0.25">
      <c r="A75">
        <v>1392</v>
      </c>
      <c r="B75" s="2">
        <v>1098.51</v>
      </c>
      <c r="C75">
        <v>0.6</v>
      </c>
      <c r="D75">
        <v>12</v>
      </c>
      <c r="E75" s="3">
        <f t="shared" si="2"/>
        <v>7.1999999999999993</v>
      </c>
      <c r="F75" s="1">
        <v>-0.36740952000000004</v>
      </c>
      <c r="G75" s="3">
        <v>51.0291</v>
      </c>
      <c r="H75">
        <v>-3.6042873912000006</v>
      </c>
    </row>
    <row r="76" spans="1:8" x14ac:dyDescent="0.25">
      <c r="A76">
        <v>1396</v>
      </c>
      <c r="B76" s="2">
        <v>1056.74</v>
      </c>
      <c r="C76">
        <v>0.5</v>
      </c>
      <c r="D76">
        <v>12</v>
      </c>
      <c r="E76" s="3">
        <f t="shared" si="2"/>
        <v>6</v>
      </c>
      <c r="F76" s="1">
        <v>-0.340194</v>
      </c>
      <c r="G76" s="3">
        <v>56.698999999999991</v>
      </c>
      <c r="H76">
        <v>-3.3373031399999999</v>
      </c>
    </row>
    <row r="77" spans="1:8" x14ac:dyDescent="0.25">
      <c r="A77">
        <v>1400</v>
      </c>
      <c r="B77" s="2">
        <v>1022.56</v>
      </c>
      <c r="C77">
        <v>0.5</v>
      </c>
      <c r="D77">
        <v>12</v>
      </c>
      <c r="E77" s="3">
        <f t="shared" si="2"/>
        <v>6</v>
      </c>
      <c r="F77" s="1">
        <v>-0.31751439999999997</v>
      </c>
      <c r="G77" s="3">
        <v>52.919066666666659</v>
      </c>
      <c r="H77">
        <v>-3.1148162639999999</v>
      </c>
    </row>
    <row r="78" spans="1:8" x14ac:dyDescent="0.25">
      <c r="A78">
        <v>1404</v>
      </c>
      <c r="B78" s="2">
        <v>986.1</v>
      </c>
      <c r="C78">
        <v>0.41</v>
      </c>
      <c r="D78">
        <v>12</v>
      </c>
      <c r="E78" s="3">
        <f t="shared" si="2"/>
        <v>4.92</v>
      </c>
      <c r="F78" s="1">
        <v>-0.29483480000000001</v>
      </c>
      <c r="G78" s="3">
        <v>59.925772357723574</v>
      </c>
      <c r="H78">
        <v>-2.8923293880000003</v>
      </c>
    </row>
    <row r="79" spans="1:8" x14ac:dyDescent="0.25">
      <c r="A79">
        <v>1408</v>
      </c>
      <c r="B79" s="2">
        <v>943.94</v>
      </c>
      <c r="C79">
        <v>0.4</v>
      </c>
      <c r="D79">
        <v>12</v>
      </c>
      <c r="E79" s="3">
        <f t="shared" si="2"/>
        <v>4.8000000000000007</v>
      </c>
      <c r="F79" s="1">
        <v>-0.26761927999999996</v>
      </c>
      <c r="G79" s="3">
        <v>55.754016666666658</v>
      </c>
      <c r="H79">
        <v>-2.6253451367999996</v>
      </c>
    </row>
    <row r="80" spans="1:8" x14ac:dyDescent="0.25">
      <c r="A80">
        <v>1412</v>
      </c>
      <c r="B80" s="2">
        <v>903.26</v>
      </c>
      <c r="C80">
        <v>0.4</v>
      </c>
      <c r="D80">
        <v>12</v>
      </c>
      <c r="E80" s="3">
        <f t="shared" si="2"/>
        <v>4.8000000000000007</v>
      </c>
      <c r="F80" s="1">
        <v>-0.24493968000000002</v>
      </c>
      <c r="G80" s="3">
        <v>51.029099999999993</v>
      </c>
      <c r="H80">
        <v>-2.4028582608000004</v>
      </c>
    </row>
    <row r="81" spans="1:8" x14ac:dyDescent="0.25">
      <c r="A81">
        <v>1416</v>
      </c>
      <c r="B81" s="2">
        <v>864.89</v>
      </c>
      <c r="C81">
        <v>0.3</v>
      </c>
      <c r="D81">
        <v>12</v>
      </c>
      <c r="E81" s="3">
        <f t="shared" si="2"/>
        <v>3.5999999999999996</v>
      </c>
      <c r="F81" s="1">
        <v>-0.226796</v>
      </c>
      <c r="G81" s="3">
        <v>62.998888888888892</v>
      </c>
      <c r="H81">
        <v>-2.2248687600000001</v>
      </c>
    </row>
    <row r="82" spans="1:8" x14ac:dyDescent="0.25">
      <c r="A82">
        <v>1420</v>
      </c>
      <c r="B82" s="2">
        <v>820.43</v>
      </c>
      <c r="C82">
        <v>0.28999999999999998</v>
      </c>
      <c r="D82">
        <v>12</v>
      </c>
      <c r="E82" s="3">
        <f t="shared" si="2"/>
        <v>3.4799999999999995</v>
      </c>
      <c r="F82" s="1">
        <v>-0.2041164</v>
      </c>
      <c r="G82" s="3">
        <v>58.654137931034491</v>
      </c>
      <c r="H82">
        <v>-2.0023818840000001</v>
      </c>
    </row>
    <row r="83" spans="1:8" x14ac:dyDescent="0.25">
      <c r="A83">
        <v>1424</v>
      </c>
      <c r="B83" s="2">
        <v>777.29</v>
      </c>
      <c r="C83">
        <v>0.2</v>
      </c>
      <c r="D83">
        <v>12</v>
      </c>
      <c r="E83" s="3">
        <f t="shared" si="2"/>
        <v>2.4000000000000004</v>
      </c>
      <c r="F83" s="1">
        <v>-0.17690088000000001</v>
      </c>
      <c r="G83" s="3">
        <v>73.708699999999993</v>
      </c>
      <c r="H83">
        <v>-1.7353976328000003</v>
      </c>
    </row>
    <row r="84" spans="1:8" x14ac:dyDescent="0.25">
      <c r="A84">
        <v>1428</v>
      </c>
      <c r="B84" s="2">
        <v>737.45</v>
      </c>
      <c r="C84">
        <v>0.2</v>
      </c>
      <c r="D84">
        <v>12</v>
      </c>
      <c r="E84" s="3">
        <f t="shared" si="2"/>
        <v>2.4000000000000004</v>
      </c>
      <c r="F84" s="1">
        <v>-0.16329311999999999</v>
      </c>
      <c r="G84" s="3">
        <v>68.038799999999981</v>
      </c>
      <c r="H84">
        <v>-1.6019055071999999</v>
      </c>
    </row>
    <row r="85" spans="1:8" x14ac:dyDescent="0.25">
      <c r="A85">
        <v>1432</v>
      </c>
      <c r="B85" s="2">
        <v>689.57</v>
      </c>
      <c r="C85">
        <v>0.2</v>
      </c>
      <c r="D85">
        <v>12</v>
      </c>
      <c r="E85" s="3">
        <f t="shared" si="2"/>
        <v>2.4000000000000004</v>
      </c>
      <c r="F85" s="1">
        <v>-0.14514943999999999</v>
      </c>
      <c r="G85" s="3">
        <v>60.478933333333323</v>
      </c>
      <c r="H85">
        <v>-1.4239160064</v>
      </c>
    </row>
    <row r="86" spans="1:8" x14ac:dyDescent="0.25">
      <c r="A86">
        <v>1436</v>
      </c>
      <c r="B86" s="2">
        <v>642.9</v>
      </c>
      <c r="C86">
        <v>0.1</v>
      </c>
      <c r="D86">
        <v>12</v>
      </c>
      <c r="E86" s="3">
        <f t="shared" si="2"/>
        <v>1.2000000000000002</v>
      </c>
      <c r="F86" s="1">
        <v>-0.12246984000000001</v>
      </c>
      <c r="G86" s="3">
        <v>102.05819999999999</v>
      </c>
      <c r="H86">
        <v>-1.2014291304000002</v>
      </c>
    </row>
    <row r="87" spans="1:8" x14ac:dyDescent="0.25">
      <c r="A87">
        <v>1440</v>
      </c>
      <c r="B87" s="2">
        <v>596.77</v>
      </c>
      <c r="C87">
        <v>0.1</v>
      </c>
      <c r="D87">
        <v>12</v>
      </c>
      <c r="E87" s="3">
        <f t="shared" si="2"/>
        <v>1.2000000000000002</v>
      </c>
      <c r="F87" s="1">
        <v>-0.10886208</v>
      </c>
      <c r="G87" s="3">
        <v>90.718399999999974</v>
      </c>
      <c r="H87">
        <v>-1.0679370048000001</v>
      </c>
    </row>
    <row r="88" spans="1:8" x14ac:dyDescent="0.25">
      <c r="A88">
        <v>1444</v>
      </c>
      <c r="B88" s="2">
        <v>549.37</v>
      </c>
      <c r="C88">
        <v>0.1</v>
      </c>
      <c r="D88">
        <v>12</v>
      </c>
      <c r="E88" s="3">
        <f t="shared" si="2"/>
        <v>1.2000000000000002</v>
      </c>
      <c r="F88" s="1">
        <v>-9.0718400000000005E-2</v>
      </c>
      <c r="G88" s="3">
        <v>75.598666666666659</v>
      </c>
      <c r="H88">
        <v>-0.88994750400000011</v>
      </c>
    </row>
    <row r="89" spans="1:8" x14ac:dyDescent="0.25">
      <c r="A89">
        <v>1448</v>
      </c>
      <c r="B89" s="2">
        <v>498.79</v>
      </c>
      <c r="C89">
        <v>0.05</v>
      </c>
      <c r="D89">
        <v>12</v>
      </c>
      <c r="E89" s="3">
        <f t="shared" si="2"/>
        <v>0.60000000000000009</v>
      </c>
      <c r="F89" s="1">
        <v>-7.2574719999999995E-2</v>
      </c>
      <c r="G89" s="3">
        <v>120.95786666666665</v>
      </c>
      <c r="H89">
        <v>-0.71195800320000002</v>
      </c>
    </row>
    <row r="90" spans="1:8" x14ac:dyDescent="0.25">
      <c r="A90">
        <v>1452</v>
      </c>
      <c r="B90" s="2">
        <v>448.35</v>
      </c>
      <c r="C90">
        <v>0.05</v>
      </c>
      <c r="D90">
        <v>12</v>
      </c>
      <c r="E90" s="3">
        <f t="shared" si="2"/>
        <v>0.60000000000000009</v>
      </c>
      <c r="F90" s="1">
        <v>-5.8966959999999999E-2</v>
      </c>
      <c r="G90" s="3">
        <v>98.278266666666653</v>
      </c>
      <c r="H90">
        <v>-0.57846587760000001</v>
      </c>
    </row>
    <row r="91" spans="1:8" x14ac:dyDescent="0.25">
      <c r="A91">
        <v>1456</v>
      </c>
      <c r="B91" s="2">
        <v>400.48</v>
      </c>
      <c r="C91">
        <v>0.05</v>
      </c>
      <c r="D91">
        <v>12</v>
      </c>
      <c r="E91" s="3">
        <f t="shared" si="2"/>
        <v>0.60000000000000009</v>
      </c>
      <c r="F91" s="1">
        <v>-4.5359200000000002E-2</v>
      </c>
      <c r="G91" s="3">
        <v>75.598666666666659</v>
      </c>
      <c r="H91">
        <v>-0.44497375200000006</v>
      </c>
    </row>
    <row r="92" spans="1:8" x14ac:dyDescent="0.25">
      <c r="A92">
        <v>1460</v>
      </c>
      <c r="B92" s="2">
        <v>345.81</v>
      </c>
      <c r="C92">
        <v>0.05</v>
      </c>
      <c r="D92">
        <v>12</v>
      </c>
      <c r="E92" s="3">
        <f t="shared" si="2"/>
        <v>0.60000000000000009</v>
      </c>
      <c r="F92" s="1">
        <v>-3.6287359999999998E-2</v>
      </c>
      <c r="G92" s="3">
        <v>60.478933333333323</v>
      </c>
      <c r="H92">
        <v>-0.35597900160000001</v>
      </c>
    </row>
    <row r="93" spans="1:8" x14ac:dyDescent="0.25">
      <c r="A93">
        <v>1464</v>
      </c>
      <c r="B93" s="2">
        <v>0</v>
      </c>
      <c r="C93">
        <v>0</v>
      </c>
      <c r="D93">
        <v>12</v>
      </c>
      <c r="E93" s="3">
        <f t="shared" si="2"/>
        <v>0</v>
      </c>
      <c r="F93" s="1">
        <v>0</v>
      </c>
      <c r="G93" s="3">
        <v>0</v>
      </c>
      <c r="H93">
        <v>0</v>
      </c>
    </row>
    <row r="94" spans="1:8" x14ac:dyDescent="0.25">
      <c r="A94">
        <v>1468</v>
      </c>
      <c r="B94" s="2">
        <v>0</v>
      </c>
      <c r="C94">
        <v>0</v>
      </c>
      <c r="D94">
        <v>12</v>
      </c>
      <c r="E94" s="3">
        <f t="shared" si="2"/>
        <v>0</v>
      </c>
      <c r="F94" s="1">
        <v>0</v>
      </c>
      <c r="G94" s="3">
        <v>0</v>
      </c>
      <c r="H94">
        <v>0</v>
      </c>
    </row>
    <row r="95" spans="1:8" x14ac:dyDescent="0.25">
      <c r="A95">
        <v>1472</v>
      </c>
      <c r="B95" s="2">
        <v>0</v>
      </c>
      <c r="C95">
        <v>0</v>
      </c>
      <c r="D95">
        <v>12</v>
      </c>
      <c r="E95" s="3">
        <f t="shared" si="2"/>
        <v>0</v>
      </c>
      <c r="F95" s="1">
        <v>0</v>
      </c>
      <c r="G95" s="3">
        <v>0</v>
      </c>
      <c r="H95">
        <v>0</v>
      </c>
    </row>
    <row r="96" spans="1:8" x14ac:dyDescent="0.25">
      <c r="A96">
        <v>1476</v>
      </c>
      <c r="B96" s="2">
        <v>0</v>
      </c>
      <c r="C96">
        <v>0</v>
      </c>
      <c r="D96">
        <v>12</v>
      </c>
      <c r="E96" s="3">
        <f t="shared" si="2"/>
        <v>0</v>
      </c>
      <c r="F96" s="1">
        <v>0</v>
      </c>
      <c r="G96" s="3">
        <v>0</v>
      </c>
      <c r="H96">
        <v>0</v>
      </c>
    </row>
    <row r="97" spans="1:8" x14ac:dyDescent="0.25">
      <c r="A97">
        <v>1480</v>
      </c>
      <c r="B97" s="2">
        <v>0</v>
      </c>
      <c r="C97">
        <v>0</v>
      </c>
      <c r="D97">
        <v>12</v>
      </c>
      <c r="E97" s="3">
        <f t="shared" si="2"/>
        <v>0</v>
      </c>
      <c r="F97" s="1">
        <v>0</v>
      </c>
      <c r="G97" s="3">
        <v>0</v>
      </c>
      <c r="H97">
        <v>0</v>
      </c>
    </row>
    <row r="98" spans="1:8" x14ac:dyDescent="0.25">
      <c r="A98">
        <v>1484</v>
      </c>
      <c r="B98" s="2">
        <v>0</v>
      </c>
      <c r="C98">
        <v>0</v>
      </c>
      <c r="D98">
        <v>12</v>
      </c>
      <c r="E98" s="3">
        <f t="shared" si="2"/>
        <v>0</v>
      </c>
      <c r="F98" s="1">
        <v>0</v>
      </c>
      <c r="G98" s="3">
        <v>0</v>
      </c>
      <c r="H98">
        <v>0</v>
      </c>
    </row>
    <row r="99" spans="1:8" x14ac:dyDescent="0.25">
      <c r="A99">
        <v>1488</v>
      </c>
      <c r="B99" s="2">
        <v>0</v>
      </c>
      <c r="C99">
        <v>0</v>
      </c>
      <c r="D99">
        <v>12</v>
      </c>
      <c r="E99" s="3">
        <f t="shared" ref="E99:E102" si="3">D99*C99</f>
        <v>0</v>
      </c>
      <c r="F99" s="1">
        <v>0</v>
      </c>
      <c r="G99" s="3">
        <v>0</v>
      </c>
      <c r="H99">
        <v>0</v>
      </c>
    </row>
    <row r="100" spans="1:8" x14ac:dyDescent="0.25">
      <c r="A100">
        <v>1492</v>
      </c>
      <c r="B100" s="2">
        <v>0</v>
      </c>
      <c r="C100">
        <v>0</v>
      </c>
      <c r="D100">
        <v>12</v>
      </c>
      <c r="E100" s="3">
        <f t="shared" si="3"/>
        <v>0</v>
      </c>
      <c r="F100" s="1">
        <v>0</v>
      </c>
      <c r="G100" s="3">
        <v>0</v>
      </c>
      <c r="H100">
        <v>0</v>
      </c>
    </row>
    <row r="101" spans="1:8" x14ac:dyDescent="0.25">
      <c r="A101">
        <v>1496</v>
      </c>
      <c r="B101" s="2">
        <v>0</v>
      </c>
      <c r="C101">
        <v>0</v>
      </c>
      <c r="D101">
        <v>12</v>
      </c>
      <c r="E101" s="3">
        <f t="shared" si="3"/>
        <v>0</v>
      </c>
      <c r="F101" s="1">
        <v>0</v>
      </c>
      <c r="G101" s="3">
        <v>0</v>
      </c>
      <c r="H101">
        <v>0</v>
      </c>
    </row>
    <row r="102" spans="1:8" x14ac:dyDescent="0.25">
      <c r="A102">
        <v>1500</v>
      </c>
      <c r="B102" s="2">
        <v>0</v>
      </c>
      <c r="C102">
        <v>0</v>
      </c>
      <c r="D102">
        <v>12</v>
      </c>
      <c r="E102" s="3">
        <f t="shared" si="3"/>
        <v>0</v>
      </c>
      <c r="F102" s="1">
        <v>0</v>
      </c>
      <c r="G102" s="3">
        <v>0</v>
      </c>
      <c r="H102">
        <v>0</v>
      </c>
    </row>
    <row r="103" spans="1:8" x14ac:dyDescent="0.25">
      <c r="A103">
        <v>1504</v>
      </c>
      <c r="B103" s="2">
        <v>0</v>
      </c>
      <c r="C103">
        <v>0</v>
      </c>
      <c r="D103">
        <v>12</v>
      </c>
      <c r="E103" s="3">
        <f t="shared" ref="E103:E166" si="4">D103*C103</f>
        <v>0</v>
      </c>
      <c r="F103" s="1">
        <v>0</v>
      </c>
      <c r="G103" s="3">
        <v>0</v>
      </c>
      <c r="H103">
        <v>0</v>
      </c>
    </row>
    <row r="104" spans="1:8" x14ac:dyDescent="0.25">
      <c r="A104">
        <v>1508</v>
      </c>
      <c r="B104" s="2">
        <v>0</v>
      </c>
      <c r="C104">
        <v>0</v>
      </c>
      <c r="D104">
        <v>12</v>
      </c>
      <c r="E104" s="3">
        <f t="shared" si="4"/>
        <v>0</v>
      </c>
      <c r="F104" s="1">
        <v>0</v>
      </c>
      <c r="G104" s="3">
        <v>0</v>
      </c>
      <c r="H104">
        <v>0</v>
      </c>
    </row>
    <row r="105" spans="1:8" x14ac:dyDescent="0.25">
      <c r="A105">
        <v>1512</v>
      </c>
      <c r="B105" s="2">
        <v>0</v>
      </c>
      <c r="C105">
        <v>0</v>
      </c>
      <c r="D105">
        <v>12</v>
      </c>
      <c r="E105" s="3">
        <f t="shared" si="4"/>
        <v>0</v>
      </c>
      <c r="F105" s="1">
        <v>0</v>
      </c>
      <c r="G105" s="3">
        <v>0</v>
      </c>
      <c r="H105">
        <v>0</v>
      </c>
    </row>
    <row r="106" spans="1:8" x14ac:dyDescent="0.25">
      <c r="A106">
        <v>1516</v>
      </c>
      <c r="B106" s="2">
        <v>0</v>
      </c>
      <c r="C106">
        <v>0</v>
      </c>
      <c r="D106">
        <v>12</v>
      </c>
      <c r="E106" s="3">
        <f t="shared" si="4"/>
        <v>0</v>
      </c>
      <c r="F106" s="1">
        <v>0</v>
      </c>
      <c r="G106" s="3">
        <v>0</v>
      </c>
      <c r="H106">
        <v>0</v>
      </c>
    </row>
    <row r="107" spans="1:8" x14ac:dyDescent="0.25">
      <c r="A107">
        <v>1520</v>
      </c>
      <c r="B107" s="2">
        <v>0</v>
      </c>
      <c r="C107">
        <v>0</v>
      </c>
      <c r="D107">
        <v>12</v>
      </c>
      <c r="E107" s="3">
        <f t="shared" si="4"/>
        <v>0</v>
      </c>
      <c r="F107" s="1">
        <v>0</v>
      </c>
      <c r="G107" s="3">
        <v>0</v>
      </c>
      <c r="H107">
        <v>0</v>
      </c>
    </row>
    <row r="108" spans="1:8" x14ac:dyDescent="0.25">
      <c r="A108">
        <v>1524</v>
      </c>
      <c r="B108" s="2">
        <v>0</v>
      </c>
      <c r="C108">
        <v>0</v>
      </c>
      <c r="D108">
        <v>12</v>
      </c>
      <c r="E108" s="3">
        <f t="shared" si="4"/>
        <v>0</v>
      </c>
      <c r="F108" s="1">
        <v>0</v>
      </c>
      <c r="G108" s="3">
        <v>0</v>
      </c>
      <c r="H108">
        <v>0</v>
      </c>
    </row>
    <row r="109" spans="1:8" x14ac:dyDescent="0.25">
      <c r="A109">
        <v>1528</v>
      </c>
      <c r="B109" s="2">
        <v>0</v>
      </c>
      <c r="C109">
        <v>0</v>
      </c>
      <c r="D109">
        <v>12</v>
      </c>
      <c r="E109" s="3">
        <f t="shared" si="4"/>
        <v>0</v>
      </c>
      <c r="F109" s="1">
        <v>0</v>
      </c>
      <c r="G109" s="3">
        <v>0</v>
      </c>
      <c r="H109">
        <v>0</v>
      </c>
    </row>
    <row r="110" spans="1:8" x14ac:dyDescent="0.25">
      <c r="A110">
        <v>1532</v>
      </c>
      <c r="B110" s="2">
        <v>0</v>
      </c>
      <c r="C110">
        <v>0</v>
      </c>
      <c r="D110">
        <v>12</v>
      </c>
      <c r="E110" s="3">
        <f t="shared" si="4"/>
        <v>0</v>
      </c>
      <c r="F110" s="1">
        <v>0</v>
      </c>
      <c r="G110" s="3">
        <v>0</v>
      </c>
      <c r="H110">
        <v>0</v>
      </c>
    </row>
    <row r="111" spans="1:8" x14ac:dyDescent="0.25">
      <c r="A111">
        <v>1536</v>
      </c>
      <c r="B111" s="2">
        <v>0</v>
      </c>
      <c r="C111">
        <v>0</v>
      </c>
      <c r="D111">
        <v>12</v>
      </c>
      <c r="E111" s="3">
        <f t="shared" si="4"/>
        <v>0</v>
      </c>
      <c r="F111" s="1">
        <v>0</v>
      </c>
      <c r="G111" s="3">
        <v>0</v>
      </c>
      <c r="H111">
        <v>0</v>
      </c>
    </row>
    <row r="112" spans="1:8" x14ac:dyDescent="0.25">
      <c r="A112">
        <v>1540</v>
      </c>
      <c r="B112" s="2">
        <v>341.99</v>
      </c>
      <c r="C112">
        <v>0.05</v>
      </c>
      <c r="D112">
        <v>12</v>
      </c>
      <c r="E112" s="3">
        <f t="shared" si="4"/>
        <v>0.60000000000000009</v>
      </c>
      <c r="F112" s="1">
        <v>4.0823279999999997E-2</v>
      </c>
      <c r="G112" s="3">
        <v>68.038799999999981</v>
      </c>
      <c r="H112">
        <v>0.40047637679999998</v>
      </c>
    </row>
    <row r="113" spans="1:8" x14ac:dyDescent="0.25">
      <c r="A113">
        <v>1544</v>
      </c>
      <c r="B113" s="2">
        <v>395.48</v>
      </c>
      <c r="C113">
        <v>0.05</v>
      </c>
      <c r="D113">
        <v>12</v>
      </c>
      <c r="E113" s="3">
        <f t="shared" si="4"/>
        <v>0.60000000000000009</v>
      </c>
      <c r="F113" s="1">
        <v>5.443104E-2</v>
      </c>
      <c r="G113" s="3">
        <v>90.718399999999974</v>
      </c>
      <c r="H113">
        <v>0.53396850240000004</v>
      </c>
    </row>
    <row r="114" spans="1:8" x14ac:dyDescent="0.25">
      <c r="A114">
        <v>1548</v>
      </c>
      <c r="B114" s="2">
        <v>443.85</v>
      </c>
      <c r="C114">
        <v>0.05</v>
      </c>
      <c r="D114">
        <v>12</v>
      </c>
      <c r="E114" s="3">
        <f t="shared" si="4"/>
        <v>0.60000000000000009</v>
      </c>
      <c r="F114" s="1">
        <v>7.2574719999999995E-2</v>
      </c>
      <c r="G114" s="3">
        <v>120.95786666666665</v>
      </c>
      <c r="H114">
        <v>0.71195800320000002</v>
      </c>
    </row>
    <row r="115" spans="1:8" x14ac:dyDescent="0.25">
      <c r="A115">
        <v>1552</v>
      </c>
      <c r="B115" s="2">
        <v>494.19</v>
      </c>
      <c r="C115">
        <v>0.1</v>
      </c>
      <c r="D115">
        <v>12</v>
      </c>
      <c r="E115" s="3">
        <f t="shared" si="4"/>
        <v>1.2000000000000002</v>
      </c>
      <c r="F115" s="1">
        <v>9.5254320000000003E-2</v>
      </c>
      <c r="G115" s="3">
        <v>79.378599999999992</v>
      </c>
      <c r="H115">
        <v>0.93444487920000008</v>
      </c>
    </row>
    <row r="116" spans="1:8" x14ac:dyDescent="0.25">
      <c r="A116">
        <v>1556</v>
      </c>
      <c r="B116" s="2">
        <v>542.16</v>
      </c>
      <c r="C116">
        <v>0.1</v>
      </c>
      <c r="D116">
        <v>12</v>
      </c>
      <c r="E116" s="3">
        <f t="shared" si="4"/>
        <v>1.2000000000000002</v>
      </c>
      <c r="F116" s="1">
        <v>0.113398</v>
      </c>
      <c r="G116" s="3">
        <v>94.498333333333321</v>
      </c>
      <c r="H116">
        <v>1.1124343800000001</v>
      </c>
    </row>
    <row r="117" spans="1:8" x14ac:dyDescent="0.25">
      <c r="A117">
        <v>1560</v>
      </c>
      <c r="B117" s="2">
        <v>591.73</v>
      </c>
      <c r="C117">
        <v>0.1</v>
      </c>
      <c r="D117">
        <v>12</v>
      </c>
      <c r="E117" s="3">
        <f t="shared" si="4"/>
        <v>1.2000000000000002</v>
      </c>
      <c r="F117" s="1">
        <v>0.13154168000000002</v>
      </c>
      <c r="G117" s="3">
        <v>109.61806666666666</v>
      </c>
      <c r="H117">
        <v>1.2904238808000004</v>
      </c>
    </row>
    <row r="118" spans="1:8" x14ac:dyDescent="0.25">
      <c r="A118">
        <v>1564</v>
      </c>
      <c r="B118" s="2">
        <v>634.42999999999995</v>
      </c>
      <c r="C118">
        <v>0.1</v>
      </c>
      <c r="D118">
        <v>12</v>
      </c>
      <c r="E118" s="3">
        <f t="shared" si="4"/>
        <v>1.2000000000000002</v>
      </c>
      <c r="F118" s="1">
        <v>0.15422128000000002</v>
      </c>
      <c r="G118" s="3">
        <v>128.51773333333333</v>
      </c>
      <c r="H118">
        <v>1.5129107568000002</v>
      </c>
    </row>
    <row r="119" spans="1:8" x14ac:dyDescent="0.25">
      <c r="A119">
        <v>1568</v>
      </c>
      <c r="B119" s="2">
        <v>680.24</v>
      </c>
      <c r="C119">
        <v>0.2</v>
      </c>
      <c r="D119">
        <v>12</v>
      </c>
      <c r="E119" s="3">
        <f t="shared" si="4"/>
        <v>2.4000000000000004</v>
      </c>
      <c r="F119" s="1">
        <v>0.17690088000000001</v>
      </c>
      <c r="G119" s="3">
        <v>73.708699999999993</v>
      </c>
      <c r="H119">
        <v>1.7353976328000003</v>
      </c>
    </row>
    <row r="120" spans="1:8" x14ac:dyDescent="0.25">
      <c r="A120">
        <v>1572</v>
      </c>
      <c r="B120" s="2">
        <v>726.22</v>
      </c>
      <c r="C120">
        <v>0.2</v>
      </c>
      <c r="D120">
        <v>12</v>
      </c>
      <c r="E120" s="3">
        <f t="shared" si="4"/>
        <v>2.4000000000000004</v>
      </c>
      <c r="F120" s="1">
        <v>0.19958048</v>
      </c>
      <c r="G120" s="3">
        <v>83.158533333333324</v>
      </c>
      <c r="H120">
        <v>1.9578845088000001</v>
      </c>
    </row>
    <row r="121" spans="1:8" x14ac:dyDescent="0.25">
      <c r="A121">
        <v>1576</v>
      </c>
      <c r="B121" s="2">
        <v>768.34</v>
      </c>
      <c r="C121">
        <v>0.2</v>
      </c>
      <c r="D121">
        <v>12</v>
      </c>
      <c r="E121" s="3">
        <f t="shared" si="4"/>
        <v>2.4000000000000004</v>
      </c>
      <c r="F121" s="1">
        <v>0.22226008</v>
      </c>
      <c r="G121" s="3">
        <v>92.608366666666655</v>
      </c>
      <c r="H121">
        <v>2.1803713847999999</v>
      </c>
    </row>
    <row r="122" spans="1:8" x14ac:dyDescent="0.25">
      <c r="A122">
        <v>1580</v>
      </c>
      <c r="B122" s="2">
        <v>811.8</v>
      </c>
      <c r="C122">
        <v>0.3</v>
      </c>
      <c r="D122">
        <v>12</v>
      </c>
      <c r="E122" s="3">
        <f t="shared" si="4"/>
        <v>3.5999999999999996</v>
      </c>
      <c r="F122" s="1">
        <v>0.25401152000000005</v>
      </c>
      <c r="G122" s="3">
        <v>70.558755555555564</v>
      </c>
      <c r="H122">
        <v>2.4918530112000008</v>
      </c>
    </row>
    <row r="123" spans="1:8" x14ac:dyDescent="0.25">
      <c r="A123">
        <v>1584</v>
      </c>
      <c r="B123" s="2">
        <v>850.98</v>
      </c>
      <c r="C123">
        <v>0.3</v>
      </c>
      <c r="D123">
        <v>12</v>
      </c>
      <c r="E123" s="3">
        <f t="shared" si="4"/>
        <v>3.5999999999999996</v>
      </c>
      <c r="F123" s="1">
        <v>0.27669112000000001</v>
      </c>
      <c r="G123" s="3">
        <v>76.858644444444451</v>
      </c>
      <c r="H123">
        <v>2.7143398872000004</v>
      </c>
    </row>
    <row r="124" spans="1:8" x14ac:dyDescent="0.25">
      <c r="A124">
        <v>1588</v>
      </c>
      <c r="B124" s="2">
        <v>891.86</v>
      </c>
      <c r="C124">
        <v>0.4</v>
      </c>
      <c r="D124">
        <v>12</v>
      </c>
      <c r="E124" s="3">
        <f t="shared" si="4"/>
        <v>4.8000000000000007</v>
      </c>
      <c r="F124" s="1">
        <v>0.30844256000000003</v>
      </c>
      <c r="G124" s="3">
        <v>64.258866666666663</v>
      </c>
      <c r="H124">
        <v>3.0258215136000004</v>
      </c>
    </row>
    <row r="125" spans="1:8" x14ac:dyDescent="0.25">
      <c r="A125">
        <v>1592</v>
      </c>
      <c r="B125" s="2">
        <v>930.88</v>
      </c>
      <c r="C125">
        <v>0.4</v>
      </c>
      <c r="D125">
        <v>12</v>
      </c>
      <c r="E125" s="3">
        <f t="shared" si="4"/>
        <v>4.8000000000000007</v>
      </c>
      <c r="F125" s="1">
        <v>0.33112216</v>
      </c>
      <c r="G125" s="3">
        <v>68.983783333333321</v>
      </c>
      <c r="H125">
        <v>3.2483083896</v>
      </c>
    </row>
    <row r="126" spans="1:8" x14ac:dyDescent="0.25">
      <c r="A126">
        <v>1596</v>
      </c>
      <c r="B126" s="2">
        <v>970.55</v>
      </c>
      <c r="C126">
        <v>0.5</v>
      </c>
      <c r="D126">
        <v>12</v>
      </c>
      <c r="E126" s="3">
        <f t="shared" si="4"/>
        <v>6</v>
      </c>
      <c r="F126" s="1">
        <v>0.36740952000000004</v>
      </c>
      <c r="G126" s="3">
        <v>61.234919999999995</v>
      </c>
      <c r="H126">
        <v>3.6042873912000006</v>
      </c>
    </row>
    <row r="127" spans="1:8" x14ac:dyDescent="0.25">
      <c r="A127">
        <v>1600</v>
      </c>
      <c r="B127" s="2">
        <v>1008.82</v>
      </c>
      <c r="C127">
        <v>0.5</v>
      </c>
      <c r="D127">
        <v>12</v>
      </c>
      <c r="E127" s="3">
        <f t="shared" si="4"/>
        <v>6</v>
      </c>
      <c r="F127" s="1">
        <v>0.39462503999999998</v>
      </c>
      <c r="G127" s="3">
        <v>65.770840000000007</v>
      </c>
      <c r="H127">
        <v>3.8712716424</v>
      </c>
    </row>
    <row r="128" spans="1:8" x14ac:dyDescent="0.25">
      <c r="A128">
        <v>1604</v>
      </c>
      <c r="B128" s="2">
        <v>1043.83</v>
      </c>
      <c r="C128">
        <v>0.6</v>
      </c>
      <c r="D128">
        <v>12</v>
      </c>
      <c r="E128" s="3">
        <f t="shared" si="4"/>
        <v>7.1999999999999993</v>
      </c>
      <c r="F128" s="1">
        <v>0.42637648</v>
      </c>
      <c r="G128" s="3">
        <v>59.21895555555556</v>
      </c>
      <c r="H128">
        <v>4.1827532688</v>
      </c>
    </row>
    <row r="129" spans="1:8" x14ac:dyDescent="0.25">
      <c r="A129">
        <v>1608</v>
      </c>
      <c r="B129" s="2">
        <v>1083.51</v>
      </c>
      <c r="C129">
        <v>0.7</v>
      </c>
      <c r="D129">
        <v>12</v>
      </c>
      <c r="E129" s="3">
        <f t="shared" si="4"/>
        <v>8.3999999999999986</v>
      </c>
      <c r="F129" s="1">
        <v>0.45812792000000002</v>
      </c>
      <c r="G129" s="3">
        <v>54.539038095238098</v>
      </c>
      <c r="H129">
        <v>4.4942348952000009</v>
      </c>
    </row>
    <row r="130" spans="1:8" x14ac:dyDescent="0.25">
      <c r="A130">
        <v>1612</v>
      </c>
      <c r="B130" s="2">
        <v>1120.81</v>
      </c>
      <c r="C130">
        <v>0.7</v>
      </c>
      <c r="D130">
        <v>12</v>
      </c>
      <c r="E130" s="3">
        <f t="shared" si="4"/>
        <v>8.3999999999999986</v>
      </c>
      <c r="F130" s="1">
        <v>0.48987936000000004</v>
      </c>
      <c r="G130" s="3">
        <v>58.318971428571437</v>
      </c>
      <c r="H130">
        <v>4.8057165216000008</v>
      </c>
    </row>
    <row r="131" spans="1:8" x14ac:dyDescent="0.25">
      <c r="A131">
        <v>1616</v>
      </c>
      <c r="B131" s="2">
        <v>1152.26</v>
      </c>
      <c r="C131">
        <v>0.8</v>
      </c>
      <c r="D131">
        <v>12</v>
      </c>
      <c r="E131" s="3">
        <f t="shared" si="4"/>
        <v>9.6000000000000014</v>
      </c>
      <c r="F131" s="1">
        <v>0.51709487999999992</v>
      </c>
      <c r="G131" s="3">
        <v>53.864049999999992</v>
      </c>
      <c r="H131">
        <v>5.0727007727999993</v>
      </c>
    </row>
    <row r="132" spans="1:8" x14ac:dyDescent="0.25">
      <c r="A132">
        <v>1620</v>
      </c>
      <c r="B132" s="2">
        <v>1186.0999999999999</v>
      </c>
      <c r="C132">
        <v>0.8</v>
      </c>
      <c r="D132">
        <v>12</v>
      </c>
      <c r="E132" s="3">
        <f t="shared" si="4"/>
        <v>9.6000000000000014</v>
      </c>
      <c r="F132" s="1">
        <v>0.54884632</v>
      </c>
      <c r="G132" s="3">
        <v>57.171491666666654</v>
      </c>
      <c r="H132">
        <v>5.3841823992000002</v>
      </c>
    </row>
    <row r="133" spans="1:8" x14ac:dyDescent="0.25">
      <c r="A133">
        <v>1624</v>
      </c>
      <c r="B133" s="2">
        <v>1227.23</v>
      </c>
      <c r="C133">
        <v>1</v>
      </c>
      <c r="D133">
        <v>12</v>
      </c>
      <c r="E133" s="3">
        <f t="shared" si="4"/>
        <v>12</v>
      </c>
      <c r="F133" s="1">
        <v>0.58966960000000002</v>
      </c>
      <c r="G133" s="3">
        <v>49.139133333333326</v>
      </c>
      <c r="H133">
        <v>5.7846587760000006</v>
      </c>
    </row>
    <row r="134" spans="1:8" x14ac:dyDescent="0.25">
      <c r="A134">
        <v>1628</v>
      </c>
      <c r="B134" s="2">
        <v>1262.6099999999999</v>
      </c>
      <c r="C134">
        <v>1</v>
      </c>
      <c r="D134">
        <v>12</v>
      </c>
      <c r="E134" s="3">
        <f t="shared" si="4"/>
        <v>12</v>
      </c>
      <c r="F134" s="1">
        <v>0.62595696000000001</v>
      </c>
      <c r="G134" s="3">
        <v>52.163080000000001</v>
      </c>
      <c r="H134">
        <v>6.1406377776000003</v>
      </c>
    </row>
    <row r="135" spans="1:8" x14ac:dyDescent="0.25">
      <c r="A135">
        <v>1632</v>
      </c>
      <c r="B135" s="2">
        <v>1290.8499999999999</v>
      </c>
      <c r="C135">
        <v>1.1000000000000001</v>
      </c>
      <c r="D135">
        <v>12</v>
      </c>
      <c r="E135" s="3">
        <f t="shared" si="4"/>
        <v>13.200000000000001</v>
      </c>
      <c r="F135" s="1">
        <v>0.65317247999999994</v>
      </c>
      <c r="G135" s="3">
        <v>49.482763636363629</v>
      </c>
      <c r="H135">
        <v>6.4076220287999996</v>
      </c>
    </row>
    <row r="136" spans="1:8" x14ac:dyDescent="0.25">
      <c r="A136">
        <v>1636</v>
      </c>
      <c r="B136" s="2">
        <v>1322.42</v>
      </c>
      <c r="C136">
        <v>1.2</v>
      </c>
      <c r="D136">
        <v>12</v>
      </c>
      <c r="E136" s="3">
        <f t="shared" si="4"/>
        <v>14.399999999999999</v>
      </c>
      <c r="F136" s="1">
        <v>0.68492392000000002</v>
      </c>
      <c r="G136" s="3">
        <v>47.564161111111112</v>
      </c>
      <c r="H136">
        <v>6.7191036552000005</v>
      </c>
    </row>
    <row r="137" spans="1:8" x14ac:dyDescent="0.25">
      <c r="A137">
        <v>1640</v>
      </c>
      <c r="B137" s="2">
        <v>1354.25</v>
      </c>
      <c r="C137">
        <v>1.3</v>
      </c>
      <c r="D137">
        <v>12</v>
      </c>
      <c r="E137" s="3">
        <f t="shared" si="4"/>
        <v>15.600000000000001</v>
      </c>
      <c r="F137" s="1">
        <v>0.71213944000000007</v>
      </c>
      <c r="G137" s="3">
        <v>45.649964102564098</v>
      </c>
      <c r="H137">
        <v>6.9860879064000008</v>
      </c>
    </row>
    <row r="138" spans="1:8" x14ac:dyDescent="0.25">
      <c r="A138">
        <v>1644</v>
      </c>
      <c r="B138" s="2">
        <v>1385.06</v>
      </c>
      <c r="C138">
        <v>1.4</v>
      </c>
      <c r="D138">
        <v>12</v>
      </c>
      <c r="E138" s="3">
        <f t="shared" si="4"/>
        <v>16.799999999999997</v>
      </c>
      <c r="F138" s="1">
        <v>0.75749864</v>
      </c>
      <c r="G138" s="3">
        <v>45.089204761904767</v>
      </c>
      <c r="H138">
        <v>7.4310616584</v>
      </c>
    </row>
    <row r="139" spans="1:8" x14ac:dyDescent="0.25">
      <c r="A139">
        <v>1648</v>
      </c>
      <c r="B139" s="2">
        <v>1424.47</v>
      </c>
      <c r="C139">
        <v>1.5</v>
      </c>
      <c r="D139">
        <v>12</v>
      </c>
      <c r="E139" s="3">
        <f t="shared" si="4"/>
        <v>18</v>
      </c>
      <c r="F139" s="1">
        <v>0.78925007999999996</v>
      </c>
      <c r="G139" s="3">
        <v>43.847226666666671</v>
      </c>
      <c r="H139">
        <v>7.7425432848</v>
      </c>
    </row>
    <row r="140" spans="1:8" x14ac:dyDescent="0.25">
      <c r="A140">
        <v>1652</v>
      </c>
      <c r="B140" s="2">
        <v>1452.94</v>
      </c>
      <c r="C140">
        <v>1.6</v>
      </c>
      <c r="D140">
        <v>12</v>
      </c>
      <c r="E140" s="3">
        <f t="shared" si="4"/>
        <v>19.200000000000003</v>
      </c>
      <c r="F140" s="1">
        <v>0.83007335999999998</v>
      </c>
      <c r="G140" s="3">
        <v>43.232987499999993</v>
      </c>
      <c r="H140">
        <v>8.1430196616000003</v>
      </c>
    </row>
    <row r="141" spans="1:8" x14ac:dyDescent="0.25">
      <c r="A141">
        <v>1656</v>
      </c>
      <c r="B141" s="2">
        <v>1485.45</v>
      </c>
      <c r="C141">
        <v>1.7</v>
      </c>
      <c r="D141">
        <v>12</v>
      </c>
      <c r="E141" s="3">
        <f t="shared" si="4"/>
        <v>20.399999999999999</v>
      </c>
      <c r="F141" s="1">
        <v>0.85728887999999992</v>
      </c>
      <c r="G141" s="3">
        <v>42.023964705882356</v>
      </c>
      <c r="H141">
        <v>8.4100039127999988</v>
      </c>
    </row>
    <row r="142" spans="1:8" x14ac:dyDescent="0.25">
      <c r="A142">
        <v>1660</v>
      </c>
      <c r="B142" s="2">
        <v>1514.6</v>
      </c>
      <c r="C142">
        <v>1.8</v>
      </c>
      <c r="D142">
        <v>12</v>
      </c>
      <c r="E142" s="3">
        <f t="shared" si="4"/>
        <v>21.6</v>
      </c>
      <c r="F142" s="1">
        <v>0.89357624000000002</v>
      </c>
      <c r="G142" s="3">
        <v>41.369270370370366</v>
      </c>
      <c r="H142">
        <v>8.7659829144000003</v>
      </c>
    </row>
    <row r="143" spans="1:8" x14ac:dyDescent="0.25">
      <c r="A143">
        <v>1664</v>
      </c>
      <c r="B143" s="2">
        <v>1538.84</v>
      </c>
      <c r="C143">
        <v>2</v>
      </c>
      <c r="D143">
        <v>12</v>
      </c>
      <c r="E143" s="3">
        <f t="shared" si="4"/>
        <v>24</v>
      </c>
      <c r="F143" s="1">
        <v>0.9298635999999999</v>
      </c>
      <c r="G143" s="3">
        <v>38.744316666666663</v>
      </c>
      <c r="H143">
        <v>9.1219619160000001</v>
      </c>
    </row>
    <row r="144" spans="1:8" x14ac:dyDescent="0.25">
      <c r="A144">
        <v>1668</v>
      </c>
      <c r="B144" s="2">
        <v>1566.76</v>
      </c>
      <c r="C144">
        <v>2.1</v>
      </c>
      <c r="D144">
        <v>12</v>
      </c>
      <c r="E144" s="3">
        <f t="shared" si="4"/>
        <v>25.200000000000003</v>
      </c>
      <c r="F144" s="1">
        <v>0.96615095999999989</v>
      </c>
      <c r="G144" s="3">
        <v>38.339323809523805</v>
      </c>
      <c r="H144">
        <v>9.4779409175999998</v>
      </c>
    </row>
    <row r="145" spans="1:8" x14ac:dyDescent="0.25">
      <c r="A145">
        <v>1672</v>
      </c>
      <c r="B145" s="2">
        <v>1598.99</v>
      </c>
      <c r="C145">
        <v>2.2000000000000002</v>
      </c>
      <c r="D145">
        <v>12</v>
      </c>
      <c r="E145" s="3">
        <f t="shared" si="4"/>
        <v>26.400000000000002</v>
      </c>
      <c r="F145" s="1">
        <v>1.00243832</v>
      </c>
      <c r="G145" s="3">
        <v>37.971148484848484</v>
      </c>
      <c r="H145">
        <v>9.8339199192000013</v>
      </c>
    </row>
    <row r="146" spans="1:8" x14ac:dyDescent="0.25">
      <c r="A146">
        <v>1676</v>
      </c>
      <c r="B146" s="2">
        <v>1632.28</v>
      </c>
      <c r="C146">
        <v>2.2999999999999998</v>
      </c>
      <c r="D146">
        <v>12</v>
      </c>
      <c r="E146" s="3">
        <f t="shared" si="4"/>
        <v>27.599999999999998</v>
      </c>
      <c r="F146" s="1">
        <v>1.0387256799999998</v>
      </c>
      <c r="G146" s="3">
        <v>37.634988405797095</v>
      </c>
      <c r="H146">
        <v>10.189898920799997</v>
      </c>
    </row>
    <row r="147" spans="1:8" x14ac:dyDescent="0.25">
      <c r="A147">
        <v>1680</v>
      </c>
      <c r="B147" s="2">
        <v>1653.33</v>
      </c>
      <c r="C147">
        <v>2.5</v>
      </c>
      <c r="D147">
        <v>12</v>
      </c>
      <c r="E147" s="3">
        <f t="shared" si="4"/>
        <v>30</v>
      </c>
      <c r="F147" s="1">
        <v>1.0840848799999998</v>
      </c>
      <c r="G147" s="3">
        <v>36.136162666666664</v>
      </c>
      <c r="H147">
        <v>10.634872672799998</v>
      </c>
    </row>
    <row r="148" spans="1:8" x14ac:dyDescent="0.25">
      <c r="A148">
        <v>1684</v>
      </c>
      <c r="B148" s="2">
        <v>1685.54</v>
      </c>
      <c r="C148">
        <v>2.8</v>
      </c>
      <c r="D148">
        <v>12</v>
      </c>
      <c r="E148" s="3">
        <f t="shared" si="4"/>
        <v>33.599999999999994</v>
      </c>
      <c r="F148" s="1">
        <v>1.1385159199999999</v>
      </c>
      <c r="G148" s="3">
        <v>33.88440238095238</v>
      </c>
      <c r="H148">
        <v>11.168841175199999</v>
      </c>
    </row>
    <row r="149" spans="1:8" x14ac:dyDescent="0.25">
      <c r="A149">
        <v>1688</v>
      </c>
      <c r="B149" s="2">
        <v>1715.86</v>
      </c>
      <c r="C149">
        <v>2.9</v>
      </c>
      <c r="D149">
        <v>12</v>
      </c>
      <c r="E149" s="3">
        <f t="shared" si="4"/>
        <v>34.799999999999997</v>
      </c>
      <c r="F149" s="1">
        <v>1.1611955199999997</v>
      </c>
      <c r="G149" s="3">
        <v>33.367687356321838</v>
      </c>
      <c r="H149">
        <v>11.391328051199997</v>
      </c>
    </row>
    <row r="150" spans="1:8" x14ac:dyDescent="0.25">
      <c r="A150">
        <v>1692</v>
      </c>
      <c r="B150" s="2">
        <v>1741.03</v>
      </c>
      <c r="C150">
        <v>3</v>
      </c>
      <c r="D150">
        <v>12</v>
      </c>
      <c r="E150" s="3">
        <f t="shared" si="4"/>
        <v>36</v>
      </c>
      <c r="F150" s="1">
        <v>1.1974828799999999</v>
      </c>
      <c r="G150" s="3">
        <v>33.263413333333325</v>
      </c>
      <c r="H150">
        <v>11.7473070528</v>
      </c>
    </row>
    <row r="151" spans="1:8" x14ac:dyDescent="0.25">
      <c r="A151">
        <v>1696</v>
      </c>
      <c r="B151" s="2">
        <v>1768.6</v>
      </c>
      <c r="C151">
        <v>3.2</v>
      </c>
      <c r="D151">
        <v>12</v>
      </c>
      <c r="E151" s="3">
        <f t="shared" si="4"/>
        <v>38.400000000000006</v>
      </c>
      <c r="F151" s="1">
        <v>1.2337702399999999</v>
      </c>
      <c r="G151" s="3">
        <v>32.129433333333324</v>
      </c>
      <c r="H151">
        <v>12.1032860544</v>
      </c>
    </row>
    <row r="152" spans="1:8" x14ac:dyDescent="0.25">
      <c r="A152">
        <v>1700</v>
      </c>
      <c r="B152" s="2">
        <v>1796.49</v>
      </c>
      <c r="C152">
        <v>3.3</v>
      </c>
      <c r="D152">
        <v>12</v>
      </c>
      <c r="E152" s="3">
        <f t="shared" si="4"/>
        <v>39.599999999999994</v>
      </c>
      <c r="F152" s="1">
        <v>1.27912944</v>
      </c>
      <c r="G152" s="3">
        <v>32.301248484848486</v>
      </c>
      <c r="H152">
        <v>12.548259806400001</v>
      </c>
    </row>
    <row r="153" spans="1:8" x14ac:dyDescent="0.25">
      <c r="A153">
        <v>1704</v>
      </c>
      <c r="B153" s="2">
        <v>1824.02</v>
      </c>
      <c r="C153">
        <v>3.5</v>
      </c>
      <c r="D153">
        <v>12</v>
      </c>
      <c r="E153" s="3">
        <f t="shared" si="4"/>
        <v>42</v>
      </c>
      <c r="F153" s="1">
        <v>1.3108808799999998</v>
      </c>
      <c r="G153" s="3">
        <v>31.211449523809517</v>
      </c>
      <c r="H153">
        <v>12.859741432799998</v>
      </c>
    </row>
    <row r="154" spans="1:8" x14ac:dyDescent="0.25">
      <c r="A154">
        <v>1708</v>
      </c>
      <c r="B154" s="2">
        <v>1854.47</v>
      </c>
      <c r="C154">
        <v>3.67</v>
      </c>
      <c r="D154">
        <v>12</v>
      </c>
      <c r="E154" s="3">
        <f t="shared" si="4"/>
        <v>44.04</v>
      </c>
      <c r="F154" s="1">
        <v>1.3517041599999999</v>
      </c>
      <c r="G154" s="3">
        <v>30.692646684831971</v>
      </c>
      <c r="H154">
        <v>13.2602178096</v>
      </c>
    </row>
    <row r="155" spans="1:8" x14ac:dyDescent="0.25">
      <c r="A155">
        <v>1712</v>
      </c>
      <c r="B155" s="2">
        <v>1880.19</v>
      </c>
      <c r="C155">
        <v>3.8</v>
      </c>
      <c r="D155">
        <v>12</v>
      </c>
      <c r="E155" s="3">
        <f t="shared" si="4"/>
        <v>45.599999999999994</v>
      </c>
      <c r="F155" s="1">
        <v>1.4015992799999999</v>
      </c>
      <c r="G155" s="3">
        <v>30.736826315789475</v>
      </c>
      <c r="H155">
        <v>13.7496889368</v>
      </c>
    </row>
    <row r="156" spans="1:8" x14ac:dyDescent="0.25">
      <c r="A156">
        <v>1716</v>
      </c>
      <c r="B156" s="2">
        <v>1910.52</v>
      </c>
      <c r="C156">
        <v>4</v>
      </c>
      <c r="D156">
        <v>12</v>
      </c>
      <c r="E156" s="3">
        <f t="shared" si="4"/>
        <v>48</v>
      </c>
      <c r="F156" s="1">
        <v>1.4333507199999997</v>
      </c>
      <c r="G156" s="3">
        <v>29.861473333333333</v>
      </c>
      <c r="H156">
        <v>14.061170563199997</v>
      </c>
    </row>
    <row r="157" spans="1:8" x14ac:dyDescent="0.25">
      <c r="A157">
        <v>1720</v>
      </c>
      <c r="B157" s="2">
        <v>1930.69</v>
      </c>
      <c r="C157">
        <v>4.2</v>
      </c>
      <c r="D157">
        <v>12</v>
      </c>
      <c r="E157" s="3">
        <f t="shared" si="4"/>
        <v>50.400000000000006</v>
      </c>
      <c r="F157" s="1">
        <v>1.4832458399999997</v>
      </c>
      <c r="G157" s="3">
        <v>29.429480952380946</v>
      </c>
      <c r="H157">
        <v>14.550641690399997</v>
      </c>
    </row>
    <row r="158" spans="1:8" x14ac:dyDescent="0.25">
      <c r="A158">
        <v>1724</v>
      </c>
      <c r="B158" s="2">
        <v>1964.4</v>
      </c>
      <c r="C158">
        <v>4.4000000000000004</v>
      </c>
      <c r="D158">
        <v>12</v>
      </c>
      <c r="E158" s="3">
        <f t="shared" si="4"/>
        <v>52.800000000000004</v>
      </c>
      <c r="F158" s="1">
        <v>1.5286050399999997</v>
      </c>
      <c r="G158" s="3">
        <v>28.950853030303023</v>
      </c>
      <c r="H158">
        <v>14.995615442399998</v>
      </c>
    </row>
    <row r="159" spans="1:8" x14ac:dyDescent="0.25">
      <c r="A159">
        <v>1728</v>
      </c>
      <c r="B159" s="2">
        <v>1995.85</v>
      </c>
      <c r="C159">
        <v>4.5999999999999996</v>
      </c>
      <c r="D159">
        <v>12</v>
      </c>
      <c r="E159" s="3">
        <f t="shared" si="4"/>
        <v>55.199999999999996</v>
      </c>
      <c r="F159" s="1">
        <v>1.5648924</v>
      </c>
      <c r="G159" s="3">
        <v>28.349499999999995</v>
      </c>
      <c r="H159">
        <v>15.351594444</v>
      </c>
    </row>
    <row r="160" spans="1:8" x14ac:dyDescent="0.25">
      <c r="A160">
        <v>1732</v>
      </c>
      <c r="B160" s="2">
        <v>2016.6</v>
      </c>
      <c r="C160">
        <v>4.8</v>
      </c>
      <c r="D160">
        <v>12</v>
      </c>
      <c r="E160" s="3">
        <f t="shared" si="4"/>
        <v>57.599999999999994</v>
      </c>
      <c r="F160" s="1">
        <v>1.6329311999999998</v>
      </c>
      <c r="G160" s="3">
        <v>28.349499999999999</v>
      </c>
      <c r="H160">
        <v>16.019055072</v>
      </c>
    </row>
    <row r="161" spans="1:8" x14ac:dyDescent="0.25">
      <c r="A161">
        <v>1736</v>
      </c>
      <c r="B161" s="2">
        <v>2046.42</v>
      </c>
      <c r="C161">
        <v>5</v>
      </c>
      <c r="D161">
        <v>12</v>
      </c>
      <c r="E161" s="3">
        <f t="shared" si="4"/>
        <v>60</v>
      </c>
      <c r="F161" s="1">
        <v>1.6737544799999999</v>
      </c>
      <c r="G161" s="3">
        <v>27.895907999999999</v>
      </c>
      <c r="H161">
        <v>16.419531448800001</v>
      </c>
    </row>
    <row r="162" spans="1:8" x14ac:dyDescent="0.25">
      <c r="A162">
        <v>1740</v>
      </c>
      <c r="B162" s="2">
        <v>2070.14</v>
      </c>
      <c r="C162">
        <v>5.2</v>
      </c>
      <c r="D162">
        <v>12</v>
      </c>
      <c r="E162" s="3">
        <f t="shared" si="4"/>
        <v>62.400000000000006</v>
      </c>
      <c r="F162" s="1">
        <v>1.7100418399999997</v>
      </c>
      <c r="G162" s="3">
        <v>27.404516666666659</v>
      </c>
      <c r="H162">
        <v>16.775510450399999</v>
      </c>
    </row>
    <row r="163" spans="1:8" x14ac:dyDescent="0.25">
      <c r="A163">
        <v>1744</v>
      </c>
      <c r="B163" s="2">
        <v>2082.9899999999998</v>
      </c>
      <c r="C163">
        <v>5.4</v>
      </c>
      <c r="D163">
        <v>12</v>
      </c>
      <c r="E163" s="3">
        <f t="shared" si="4"/>
        <v>64.800000000000011</v>
      </c>
      <c r="F163" s="1">
        <v>1.7690087999999999</v>
      </c>
      <c r="G163" s="3">
        <v>27.299518518518511</v>
      </c>
      <c r="H163">
        <v>17.353976328000002</v>
      </c>
    </row>
    <row r="164" spans="1:8" x14ac:dyDescent="0.25">
      <c r="A164">
        <v>1748</v>
      </c>
      <c r="B164" s="2">
        <v>2117.8200000000002</v>
      </c>
      <c r="C164">
        <v>5.69</v>
      </c>
      <c r="D164">
        <v>12</v>
      </c>
      <c r="E164" s="3">
        <f t="shared" si="4"/>
        <v>68.28</v>
      </c>
      <c r="F164" s="1">
        <v>1.8189039199999999</v>
      </c>
      <c r="G164" s="3">
        <v>26.638897480960747</v>
      </c>
      <c r="H164">
        <v>17.8434474552</v>
      </c>
    </row>
    <row r="165" spans="1:8" x14ac:dyDescent="0.25">
      <c r="A165">
        <v>1752</v>
      </c>
      <c r="B165" s="2">
        <v>2143.31</v>
      </c>
      <c r="C165">
        <v>5.8</v>
      </c>
      <c r="D165">
        <v>12</v>
      </c>
      <c r="E165" s="3">
        <f t="shared" si="4"/>
        <v>69.599999999999994</v>
      </c>
      <c r="F165" s="1">
        <v>1.8461194399999996</v>
      </c>
      <c r="G165" s="3">
        <v>26.524704597701149</v>
      </c>
      <c r="H165">
        <v>18.110431706399996</v>
      </c>
    </row>
    <row r="166" spans="1:8" x14ac:dyDescent="0.25">
      <c r="A166">
        <v>1756</v>
      </c>
      <c r="B166" s="2">
        <v>2168.92</v>
      </c>
      <c r="C166">
        <v>6</v>
      </c>
      <c r="D166">
        <v>12</v>
      </c>
      <c r="E166" s="3">
        <f t="shared" si="4"/>
        <v>72</v>
      </c>
      <c r="F166" s="1">
        <v>1.9050864000000001</v>
      </c>
      <c r="G166" s="3">
        <v>26.459533333333333</v>
      </c>
      <c r="H166">
        <v>18.688897584000003</v>
      </c>
    </row>
    <row r="167" spans="1:8" x14ac:dyDescent="0.25">
      <c r="A167">
        <v>1760</v>
      </c>
      <c r="B167" s="2">
        <v>2190.39</v>
      </c>
      <c r="C167">
        <v>6.3</v>
      </c>
      <c r="D167">
        <v>12</v>
      </c>
      <c r="E167" s="3">
        <f t="shared" ref="E167:E201" si="5">D167*C167</f>
        <v>75.599999999999994</v>
      </c>
      <c r="F167" s="1">
        <v>1.9232300800000002</v>
      </c>
      <c r="G167" s="3">
        <v>25.439551322751324</v>
      </c>
      <c r="H167">
        <v>18.866887084800002</v>
      </c>
    </row>
    <row r="168" spans="1:8" x14ac:dyDescent="0.25">
      <c r="A168">
        <v>1764</v>
      </c>
      <c r="B168" s="2">
        <v>2228.92</v>
      </c>
      <c r="C168">
        <v>6.5</v>
      </c>
      <c r="D168">
        <v>12</v>
      </c>
      <c r="E168" s="3">
        <f t="shared" si="5"/>
        <v>78</v>
      </c>
      <c r="F168" s="1">
        <v>1.9640533600000001</v>
      </c>
      <c r="G168" s="3">
        <v>25.18017128205128</v>
      </c>
      <c r="H168">
        <v>19.267363461600002</v>
      </c>
    </row>
    <row r="169" spans="1:8" x14ac:dyDescent="0.25">
      <c r="A169">
        <v>1768</v>
      </c>
      <c r="B169" s="2">
        <v>2243.91</v>
      </c>
      <c r="C169">
        <v>6.7</v>
      </c>
      <c r="D169">
        <v>12</v>
      </c>
      <c r="E169" s="3">
        <f t="shared" si="5"/>
        <v>80.400000000000006</v>
      </c>
      <c r="F169" s="1">
        <v>2.0320921599999999</v>
      </c>
      <c r="G169" s="3">
        <v>25.274778109452729</v>
      </c>
      <c r="H169">
        <v>19.934824089599999</v>
      </c>
    </row>
    <row r="170" spans="1:8" x14ac:dyDescent="0.25">
      <c r="A170">
        <v>1772</v>
      </c>
      <c r="B170" s="2">
        <v>2269.2399999999998</v>
      </c>
      <c r="C170">
        <v>7</v>
      </c>
      <c r="D170">
        <v>12</v>
      </c>
      <c r="E170" s="3">
        <f t="shared" si="5"/>
        <v>84</v>
      </c>
      <c r="F170" s="1">
        <v>2.0865231999999998</v>
      </c>
      <c r="G170" s="3">
        <v>24.839561904761901</v>
      </c>
      <c r="H170">
        <v>20.468792592</v>
      </c>
    </row>
    <row r="171" spans="1:8" x14ac:dyDescent="0.25">
      <c r="A171">
        <v>1776</v>
      </c>
      <c r="B171" s="2">
        <v>2303.73</v>
      </c>
      <c r="C171">
        <v>7.2</v>
      </c>
      <c r="D171">
        <v>12</v>
      </c>
      <c r="E171" s="3">
        <f t="shared" si="5"/>
        <v>86.4</v>
      </c>
      <c r="F171" s="1">
        <v>2.1318823999999998</v>
      </c>
      <c r="G171" s="3">
        <v>24.674564814814811</v>
      </c>
      <c r="H171">
        <v>20.913766343999999</v>
      </c>
    </row>
    <row r="172" spans="1:8" x14ac:dyDescent="0.25">
      <c r="A172">
        <v>1780</v>
      </c>
      <c r="B172" s="2">
        <v>2330.34</v>
      </c>
      <c r="C172">
        <v>7.5</v>
      </c>
      <c r="D172">
        <v>12</v>
      </c>
      <c r="E172" s="3">
        <f t="shared" si="5"/>
        <v>90</v>
      </c>
      <c r="F172" s="1">
        <v>2.1772415999999999</v>
      </c>
      <c r="G172" s="3">
        <v>24.191573333333331</v>
      </c>
      <c r="H172">
        <v>21.358740095999998</v>
      </c>
    </row>
    <row r="173" spans="1:8" x14ac:dyDescent="0.25">
      <c r="A173">
        <v>1784</v>
      </c>
      <c r="B173" s="2">
        <v>2344.94</v>
      </c>
      <c r="C173">
        <v>7.8</v>
      </c>
      <c r="D173">
        <v>12</v>
      </c>
      <c r="E173" s="3">
        <f t="shared" si="5"/>
        <v>93.6</v>
      </c>
      <c r="F173" s="1">
        <v>2.2362085599999997</v>
      </c>
      <c r="G173" s="3">
        <v>23.89111709401709</v>
      </c>
      <c r="H173">
        <v>21.937205973599998</v>
      </c>
    </row>
    <row r="174" spans="1:8" x14ac:dyDescent="0.25">
      <c r="A174">
        <v>1788</v>
      </c>
      <c r="B174" s="2">
        <v>2391.16</v>
      </c>
      <c r="C174">
        <v>8</v>
      </c>
      <c r="D174">
        <v>12</v>
      </c>
      <c r="E174" s="3">
        <f t="shared" si="5"/>
        <v>96</v>
      </c>
      <c r="F174" s="1">
        <v>2.2724959199999999</v>
      </c>
      <c r="G174" s="3">
        <v>23.671832499999997</v>
      </c>
      <c r="H174">
        <v>22.293184975199999</v>
      </c>
    </row>
    <row r="175" spans="1:8" x14ac:dyDescent="0.25">
      <c r="A175">
        <v>1792</v>
      </c>
      <c r="B175" s="2">
        <v>2411.4899999999998</v>
      </c>
      <c r="C175">
        <v>8.32</v>
      </c>
      <c r="D175">
        <v>12</v>
      </c>
      <c r="E175" s="3">
        <f t="shared" si="5"/>
        <v>99.84</v>
      </c>
      <c r="F175" s="1">
        <v>2.3314628799999997</v>
      </c>
      <c r="G175" s="3">
        <v>23.351991987179481</v>
      </c>
      <c r="H175">
        <v>22.871650852799998</v>
      </c>
    </row>
    <row r="176" spans="1:8" x14ac:dyDescent="0.25">
      <c r="A176">
        <v>1796</v>
      </c>
      <c r="B176" s="2">
        <v>2431.61</v>
      </c>
      <c r="C176">
        <v>8.64</v>
      </c>
      <c r="D176">
        <v>12</v>
      </c>
      <c r="E176" s="3">
        <f t="shared" si="5"/>
        <v>103.68</v>
      </c>
      <c r="F176" s="1">
        <v>2.3995016800000002</v>
      </c>
      <c r="G176" s="3">
        <v>23.143341820987651</v>
      </c>
      <c r="H176">
        <v>23.539111480800003</v>
      </c>
    </row>
    <row r="177" spans="1:8" x14ac:dyDescent="0.25">
      <c r="A177">
        <v>1800</v>
      </c>
      <c r="B177" s="2">
        <v>2456.15</v>
      </c>
      <c r="C177">
        <v>8.9</v>
      </c>
      <c r="D177">
        <v>12</v>
      </c>
      <c r="E177" s="3">
        <f t="shared" si="5"/>
        <v>106.80000000000001</v>
      </c>
      <c r="F177" s="1">
        <v>2.4630045599999999</v>
      </c>
      <c r="G177" s="3">
        <v>23.061840449438197</v>
      </c>
      <c r="H177">
        <v>24.162074733600001</v>
      </c>
    </row>
    <row r="178" spans="1:8" x14ac:dyDescent="0.25">
      <c r="A178">
        <v>1804</v>
      </c>
      <c r="B178" s="2">
        <v>2482.27</v>
      </c>
      <c r="C178">
        <v>9.24</v>
      </c>
      <c r="D178">
        <v>12</v>
      </c>
      <c r="E178" s="3">
        <f t="shared" si="5"/>
        <v>110.88</v>
      </c>
      <c r="F178" s="1">
        <v>2.5083637599999995</v>
      </c>
      <c r="G178" s="3">
        <v>22.622328282828281</v>
      </c>
      <c r="H178">
        <v>24.607048485599996</v>
      </c>
    </row>
    <row r="179" spans="1:8" x14ac:dyDescent="0.25">
      <c r="A179">
        <v>1808</v>
      </c>
      <c r="B179" s="2">
        <v>2508.44</v>
      </c>
      <c r="C179">
        <v>9.5</v>
      </c>
      <c r="D179">
        <v>12</v>
      </c>
      <c r="E179" s="3">
        <f t="shared" si="5"/>
        <v>114</v>
      </c>
      <c r="F179" s="1">
        <v>2.5627947999999998</v>
      </c>
      <c r="G179" s="3">
        <v>22.480656140350874</v>
      </c>
      <c r="H179">
        <v>25.141016988000001</v>
      </c>
    </row>
    <row r="180" spans="1:8" x14ac:dyDescent="0.25">
      <c r="A180">
        <v>1812</v>
      </c>
      <c r="B180" s="2">
        <v>2534.84</v>
      </c>
      <c r="C180">
        <v>9.82</v>
      </c>
      <c r="D180">
        <v>12</v>
      </c>
      <c r="E180" s="3">
        <f t="shared" si="5"/>
        <v>117.84</v>
      </c>
      <c r="F180" s="1">
        <v>2.6172258399999997</v>
      </c>
      <c r="G180" s="3">
        <v>22.209995247793614</v>
      </c>
      <c r="H180">
        <v>25.674985490399997</v>
      </c>
    </row>
    <row r="181" spans="1:8" x14ac:dyDescent="0.25">
      <c r="A181">
        <v>1816</v>
      </c>
      <c r="B181" s="2">
        <v>2561.67</v>
      </c>
      <c r="C181">
        <v>10.14</v>
      </c>
      <c r="D181">
        <v>12</v>
      </c>
      <c r="E181" s="3">
        <f t="shared" si="5"/>
        <v>121.68</v>
      </c>
      <c r="F181" s="1">
        <v>2.6535131999999999</v>
      </c>
      <c r="G181" s="3">
        <v>21.807307692307688</v>
      </c>
      <c r="H181">
        <v>26.030964491999999</v>
      </c>
    </row>
    <row r="182" spans="1:8" x14ac:dyDescent="0.25">
      <c r="A182">
        <v>1820</v>
      </c>
      <c r="B182" s="2">
        <v>2584.62</v>
      </c>
      <c r="C182">
        <v>10.45</v>
      </c>
      <c r="D182">
        <v>12</v>
      </c>
      <c r="E182" s="3">
        <f t="shared" si="5"/>
        <v>125.39999999999999</v>
      </c>
      <c r="F182" s="1">
        <v>2.7124801599999997</v>
      </c>
      <c r="G182" s="3">
        <v>21.630623285486443</v>
      </c>
      <c r="H182">
        <v>26.609430369599998</v>
      </c>
    </row>
    <row r="183" spans="1:8" x14ac:dyDescent="0.25">
      <c r="A183">
        <v>1824</v>
      </c>
      <c r="B183" s="2">
        <v>2613.0100000000002</v>
      </c>
      <c r="C183">
        <v>10.72</v>
      </c>
      <c r="D183">
        <v>12</v>
      </c>
      <c r="E183" s="3">
        <f t="shared" si="5"/>
        <v>128.64000000000001</v>
      </c>
      <c r="F183" s="1">
        <v>2.7759830399999998</v>
      </c>
      <c r="G183" s="3">
        <v>21.57947014925373</v>
      </c>
      <c r="H183">
        <v>27.2323936224</v>
      </c>
    </row>
    <row r="184" spans="1:8" x14ac:dyDescent="0.25">
      <c r="A184">
        <v>1828</v>
      </c>
      <c r="B184" s="2">
        <v>2620.2800000000002</v>
      </c>
      <c r="C184">
        <v>11.1</v>
      </c>
      <c r="D184">
        <v>12</v>
      </c>
      <c r="E184" s="3">
        <f t="shared" si="5"/>
        <v>133.19999999999999</v>
      </c>
      <c r="F184" s="1">
        <v>2.8440218399999999</v>
      </c>
      <c r="G184" s="3">
        <v>21.351515315315318</v>
      </c>
      <c r="H184">
        <v>27.899854250400001</v>
      </c>
    </row>
    <row r="185" spans="1:8" x14ac:dyDescent="0.25">
      <c r="A185">
        <v>1832</v>
      </c>
      <c r="B185" s="2">
        <v>2660.57</v>
      </c>
      <c r="C185">
        <v>11.32</v>
      </c>
      <c r="D185">
        <v>12</v>
      </c>
      <c r="E185" s="3">
        <f t="shared" si="5"/>
        <v>135.84</v>
      </c>
      <c r="F185" s="1">
        <v>2.8712373599999998</v>
      </c>
      <c r="G185" s="3">
        <v>21.136906360424028</v>
      </c>
      <c r="H185">
        <v>28.166838501600001</v>
      </c>
    </row>
    <row r="186" spans="1:8" x14ac:dyDescent="0.25">
      <c r="A186">
        <v>1836</v>
      </c>
      <c r="B186" s="2">
        <v>2680.69</v>
      </c>
      <c r="C186">
        <v>11.62</v>
      </c>
      <c r="D186">
        <v>12</v>
      </c>
      <c r="E186" s="3">
        <f t="shared" si="5"/>
        <v>139.44</v>
      </c>
      <c r="F186" s="1">
        <v>2.9302043200000001</v>
      </c>
      <c r="G186" s="3">
        <v>21.014087205966725</v>
      </c>
      <c r="H186">
        <v>28.745304379200004</v>
      </c>
    </row>
    <row r="187" spans="1:8" x14ac:dyDescent="0.25">
      <c r="A187">
        <v>1840</v>
      </c>
      <c r="B187" s="2">
        <v>2698.45</v>
      </c>
      <c r="C187">
        <v>12.01</v>
      </c>
      <c r="D187">
        <v>12</v>
      </c>
      <c r="E187" s="3">
        <f t="shared" si="5"/>
        <v>144.12</v>
      </c>
      <c r="F187" s="1">
        <v>3.00731496</v>
      </c>
      <c r="G187" s="3">
        <v>20.866742714404658</v>
      </c>
      <c r="H187">
        <v>29.501759757600002</v>
      </c>
    </row>
    <row r="188" spans="1:8" x14ac:dyDescent="0.25">
      <c r="A188">
        <v>1844</v>
      </c>
      <c r="B188" s="2">
        <v>2721.1</v>
      </c>
      <c r="C188">
        <v>12.37</v>
      </c>
      <c r="D188">
        <v>12</v>
      </c>
      <c r="E188" s="3">
        <f t="shared" si="5"/>
        <v>148.44</v>
      </c>
      <c r="F188" s="1">
        <v>3.0436023199999998</v>
      </c>
      <c r="G188" s="3">
        <v>20.503922931824306</v>
      </c>
      <c r="H188">
        <v>29.8577387592</v>
      </c>
    </row>
    <row r="189" spans="1:8" x14ac:dyDescent="0.25">
      <c r="A189">
        <v>1848</v>
      </c>
      <c r="B189" s="2">
        <v>2750.81</v>
      </c>
      <c r="C189">
        <v>12.61</v>
      </c>
      <c r="D189">
        <v>12</v>
      </c>
      <c r="E189" s="3">
        <f t="shared" si="5"/>
        <v>151.32</v>
      </c>
      <c r="F189" s="1">
        <v>3.0844255999999999</v>
      </c>
      <c r="G189" s="3">
        <v>20.383462860163892</v>
      </c>
      <c r="H189">
        <v>30.258215136</v>
      </c>
    </row>
    <row r="190" spans="1:8" x14ac:dyDescent="0.25">
      <c r="A190">
        <v>1852</v>
      </c>
      <c r="B190" s="2">
        <v>2772.88</v>
      </c>
      <c r="C190">
        <v>13.04</v>
      </c>
      <c r="D190">
        <v>12</v>
      </c>
      <c r="E190" s="3">
        <f t="shared" si="5"/>
        <v>156.47999999999999</v>
      </c>
      <c r="F190" s="1">
        <v>3.1570003199999999</v>
      </c>
      <c r="G190" s="3">
        <v>20.17510429447853</v>
      </c>
      <c r="H190">
        <v>30.9701731392</v>
      </c>
    </row>
    <row r="191" spans="1:8" x14ac:dyDescent="0.25">
      <c r="A191">
        <v>1856</v>
      </c>
      <c r="B191" s="2">
        <v>2781.82</v>
      </c>
      <c r="C191">
        <v>13.44</v>
      </c>
      <c r="D191">
        <v>12</v>
      </c>
      <c r="E191" s="3">
        <f t="shared" si="5"/>
        <v>161.28</v>
      </c>
      <c r="F191" s="1">
        <v>3.2250391199999999</v>
      </c>
      <c r="G191" s="3">
        <v>19.996522321428568</v>
      </c>
      <c r="H191">
        <v>31.637633767200001</v>
      </c>
    </row>
    <row r="192" spans="1:8" x14ac:dyDescent="0.25">
      <c r="A192">
        <v>1860</v>
      </c>
      <c r="B192" s="2">
        <v>2807.61</v>
      </c>
      <c r="C192">
        <v>13.7</v>
      </c>
      <c r="D192">
        <v>12</v>
      </c>
      <c r="E192" s="3">
        <f t="shared" si="5"/>
        <v>164.39999999999998</v>
      </c>
      <c r="F192" s="1">
        <v>3.2613264799999997</v>
      </c>
      <c r="G192" s="3">
        <v>19.837752311435523</v>
      </c>
      <c r="H192">
        <v>31.993612768799998</v>
      </c>
    </row>
    <row r="193" spans="1:8" x14ac:dyDescent="0.25">
      <c r="A193">
        <v>1864</v>
      </c>
      <c r="B193" s="2">
        <v>2834.87</v>
      </c>
      <c r="C193">
        <v>14.11</v>
      </c>
      <c r="D193">
        <v>12</v>
      </c>
      <c r="E193" s="3">
        <f t="shared" si="5"/>
        <v>169.32</v>
      </c>
      <c r="F193" s="1">
        <v>3.3157575199999996</v>
      </c>
      <c r="G193" s="3">
        <v>19.582787148594377</v>
      </c>
      <c r="H193">
        <v>32.527581271199999</v>
      </c>
    </row>
    <row r="194" spans="1:8" x14ac:dyDescent="0.25">
      <c r="A194">
        <v>1868</v>
      </c>
      <c r="B194" s="2">
        <v>2858.8</v>
      </c>
      <c r="C194">
        <v>14.4</v>
      </c>
      <c r="D194">
        <v>12</v>
      </c>
      <c r="E194" s="3">
        <f t="shared" si="5"/>
        <v>172.8</v>
      </c>
      <c r="F194" s="1">
        <v>3.3792604000000002</v>
      </c>
      <c r="G194" s="3">
        <v>19.555905092592592</v>
      </c>
      <c r="H194">
        <v>33.150544524000004</v>
      </c>
    </row>
    <row r="195" spans="1:8" x14ac:dyDescent="0.25">
      <c r="A195">
        <v>1872</v>
      </c>
      <c r="B195" s="2">
        <v>2878.87</v>
      </c>
      <c r="C195">
        <v>14.76</v>
      </c>
      <c r="D195">
        <v>12</v>
      </c>
      <c r="E195" s="3">
        <f t="shared" si="5"/>
        <v>177.12</v>
      </c>
      <c r="F195" s="1">
        <v>3.4019399999999997</v>
      </c>
      <c r="G195" s="3">
        <v>19.206978319783197</v>
      </c>
      <c r="H195">
        <v>33.373031400000002</v>
      </c>
    </row>
    <row r="196" spans="1:8" x14ac:dyDescent="0.25">
      <c r="A196">
        <v>1876</v>
      </c>
      <c r="B196" s="2">
        <v>2903.67</v>
      </c>
      <c r="C196">
        <v>15.13</v>
      </c>
      <c r="D196">
        <v>12</v>
      </c>
      <c r="E196" s="3">
        <f t="shared" si="5"/>
        <v>181.56</v>
      </c>
      <c r="F196" s="1">
        <v>3.4472991999999998</v>
      </c>
      <c r="G196" s="3">
        <v>18.987107292355144</v>
      </c>
      <c r="H196">
        <v>33.818005151999998</v>
      </c>
    </row>
    <row r="197" spans="1:8" x14ac:dyDescent="0.25">
      <c r="A197">
        <v>1880</v>
      </c>
      <c r="B197" s="2">
        <v>2923.44</v>
      </c>
      <c r="C197">
        <v>15.52</v>
      </c>
      <c r="D197">
        <v>12</v>
      </c>
      <c r="E197" s="3">
        <f t="shared" si="5"/>
        <v>186.24</v>
      </c>
      <c r="F197" s="1">
        <v>3.5017302399999997</v>
      </c>
      <c r="G197" s="3">
        <v>18.802245704467353</v>
      </c>
      <c r="H197">
        <v>34.351973654399998</v>
      </c>
    </row>
    <row r="198" spans="1:8" x14ac:dyDescent="0.25">
      <c r="A198">
        <v>1884</v>
      </c>
      <c r="B198" s="2">
        <v>2936.81</v>
      </c>
      <c r="C198">
        <v>15.87</v>
      </c>
      <c r="D198">
        <v>12</v>
      </c>
      <c r="E198" s="3">
        <f t="shared" si="5"/>
        <v>190.44</v>
      </c>
      <c r="F198" s="1">
        <v>3.5697690400000002</v>
      </c>
      <c r="G198" s="3">
        <v>18.74484898130645</v>
      </c>
      <c r="H198">
        <v>35.019434282400006</v>
      </c>
    </row>
    <row r="199" spans="1:8" x14ac:dyDescent="0.25">
      <c r="A199">
        <v>1888</v>
      </c>
      <c r="B199" s="2">
        <v>2962.32</v>
      </c>
      <c r="C199">
        <v>16.3</v>
      </c>
      <c r="D199">
        <v>12</v>
      </c>
      <c r="E199" s="3">
        <f t="shared" si="5"/>
        <v>195.60000000000002</v>
      </c>
      <c r="F199" s="1">
        <v>3.6378078399999998</v>
      </c>
      <c r="G199" s="3">
        <v>18.598199591002039</v>
      </c>
      <c r="H199">
        <v>35.6868949104</v>
      </c>
    </row>
    <row r="200" spans="1:8" x14ac:dyDescent="0.25">
      <c r="A200">
        <v>1892</v>
      </c>
      <c r="B200" s="2">
        <v>2976.44</v>
      </c>
      <c r="C200">
        <v>16.739999999999998</v>
      </c>
      <c r="D200">
        <v>12</v>
      </c>
      <c r="E200" s="3">
        <f t="shared" si="5"/>
        <v>200.88</v>
      </c>
      <c r="F200" s="1">
        <v>3.7058466399999999</v>
      </c>
      <c r="G200" s="3">
        <v>18.448061728395061</v>
      </c>
      <c r="H200">
        <v>36.3543555384</v>
      </c>
    </row>
    <row r="201" spans="1:8" x14ac:dyDescent="0.25">
      <c r="A201">
        <v>1896</v>
      </c>
      <c r="B201" s="2">
        <v>2993.65</v>
      </c>
      <c r="C201">
        <v>16.86</v>
      </c>
      <c r="D201">
        <v>12</v>
      </c>
      <c r="E201" s="3">
        <f t="shared" si="5"/>
        <v>202.32</v>
      </c>
      <c r="F201" s="1">
        <v>3.6922388800000001</v>
      </c>
      <c r="G201" s="3">
        <v>18.249500197706606</v>
      </c>
      <c r="H201">
        <v>36.2208634128</v>
      </c>
    </row>
    <row r="202" spans="1:8" x14ac:dyDescent="0.25">
      <c r="A202">
        <v>1900</v>
      </c>
      <c r="B202" s="2">
        <v>2994.5566666666668</v>
      </c>
      <c r="C202" s="1">
        <v>16.911666666666665</v>
      </c>
      <c r="D202">
        <v>12</v>
      </c>
      <c r="E202" s="3">
        <v>202.94000000000003</v>
      </c>
      <c r="F202" s="1">
        <v>3.7141624933333337</v>
      </c>
      <c r="G202" s="3">
        <v>18.301714656156488</v>
      </c>
      <c r="H202">
        <v>36.435934059600008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449-9B23-49F5-B4E3-F894E8CB556D}">
  <dimension ref="A1:H202"/>
  <sheetViews>
    <sheetView topLeftCell="A148" workbookViewId="0">
      <selection activeCell="H2" sqref="H2:H202"/>
    </sheetView>
  </sheetViews>
  <sheetFormatPr defaultRowHeight="15" x14ac:dyDescent="0.25"/>
  <cols>
    <col min="1" max="1" width="9.5703125" customWidth="1"/>
    <col min="3" max="3" width="11.140625" customWidth="1"/>
    <col min="4" max="4" width="11.42578125" customWidth="1"/>
    <col min="5" max="5" width="10.8554687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1100</v>
      </c>
      <c r="B2" s="2">
        <v>3232.9266666666667</v>
      </c>
      <c r="C2" s="1">
        <v>20.706666666666667</v>
      </c>
      <c r="D2">
        <v>14</v>
      </c>
      <c r="E2" s="3">
        <v>289.89333333333337</v>
      </c>
      <c r="F2" s="1">
        <v>-3.5168499733333336</v>
      </c>
      <c r="G2" s="3">
        <v>12.131518247445527</v>
      </c>
      <c r="H2">
        <f>F2*9.81</f>
        <v>-34.500298238400006</v>
      </c>
    </row>
    <row r="3" spans="1:8" x14ac:dyDescent="0.25">
      <c r="A3">
        <v>1104</v>
      </c>
      <c r="B3" s="2">
        <v>3243.52</v>
      </c>
      <c r="C3">
        <v>20.63</v>
      </c>
      <c r="D3">
        <v>14</v>
      </c>
      <c r="E3" s="3">
        <f t="shared" ref="E3:E34" si="0">C3*D3</f>
        <v>288.82</v>
      </c>
      <c r="F3" s="1">
        <v>-3.4971943199999997</v>
      </c>
      <c r="G3" s="3">
        <v>12.108560072017173</v>
      </c>
      <c r="H3">
        <f t="shared" ref="H3:H66" si="1">F3*9.81</f>
        <v>-34.307476279199996</v>
      </c>
    </row>
    <row r="4" spans="1:8" x14ac:dyDescent="0.25">
      <c r="A4">
        <v>1108</v>
      </c>
      <c r="B4" s="2">
        <v>3206.35</v>
      </c>
      <c r="C4">
        <v>20.47</v>
      </c>
      <c r="D4">
        <v>14</v>
      </c>
      <c r="E4" s="3">
        <f t="shared" si="0"/>
        <v>286.58</v>
      </c>
      <c r="F4" s="1">
        <v>-3.4926583999999998</v>
      </c>
      <c r="G4" s="3">
        <v>12.187376648754274</v>
      </c>
      <c r="H4">
        <f t="shared" si="1"/>
        <v>-34.262978904000001</v>
      </c>
    </row>
    <row r="5" spans="1:8" x14ac:dyDescent="0.25">
      <c r="A5">
        <v>1112</v>
      </c>
      <c r="B5" s="2">
        <v>3201.53</v>
      </c>
      <c r="C5">
        <v>19.899999999999999</v>
      </c>
      <c r="D5">
        <v>14</v>
      </c>
      <c r="E5" s="3">
        <f t="shared" si="0"/>
        <v>278.59999999999997</v>
      </c>
      <c r="F5" s="1">
        <v>-3.4518351199999997</v>
      </c>
      <c r="G5" s="3">
        <v>12.38993223259153</v>
      </c>
      <c r="H5">
        <f t="shared" si="1"/>
        <v>-33.8625025272</v>
      </c>
    </row>
    <row r="6" spans="1:8" x14ac:dyDescent="0.25">
      <c r="A6">
        <v>1116</v>
      </c>
      <c r="B6" s="2">
        <v>3173.94</v>
      </c>
      <c r="C6">
        <v>19.45</v>
      </c>
      <c r="D6">
        <v>14</v>
      </c>
      <c r="E6" s="3">
        <f t="shared" si="0"/>
        <v>272.3</v>
      </c>
      <c r="F6" s="1">
        <v>-3.4019399999999997</v>
      </c>
      <c r="G6" s="3">
        <v>12.493352919573999</v>
      </c>
      <c r="H6">
        <f t="shared" si="1"/>
        <v>-33.373031400000002</v>
      </c>
    </row>
    <row r="7" spans="1:8" x14ac:dyDescent="0.25">
      <c r="A7">
        <v>1120</v>
      </c>
      <c r="B7" s="2">
        <v>3159.69</v>
      </c>
      <c r="C7">
        <v>18.96</v>
      </c>
      <c r="D7">
        <v>14</v>
      </c>
      <c r="E7" s="3">
        <f t="shared" si="0"/>
        <v>265.44</v>
      </c>
      <c r="F7" s="1">
        <v>-3.3565807999999997</v>
      </c>
      <c r="G7" s="3">
        <v>12.645346594333935</v>
      </c>
      <c r="H7">
        <f t="shared" si="1"/>
        <v>-32.928057647999999</v>
      </c>
    </row>
    <row r="8" spans="1:8" x14ac:dyDescent="0.25">
      <c r="A8">
        <v>1124</v>
      </c>
      <c r="B8" s="2">
        <v>3143.02</v>
      </c>
      <c r="C8">
        <v>18.39</v>
      </c>
      <c r="D8">
        <v>14</v>
      </c>
      <c r="E8" s="3">
        <f t="shared" si="0"/>
        <v>257.46000000000004</v>
      </c>
      <c r="F8" s="1">
        <v>-3.29307792</v>
      </c>
      <c r="G8" s="3">
        <v>12.790639011885338</v>
      </c>
      <c r="H8">
        <f t="shared" si="1"/>
        <v>-32.305094395200001</v>
      </c>
    </row>
    <row r="9" spans="1:8" x14ac:dyDescent="0.25">
      <c r="A9">
        <v>1128</v>
      </c>
      <c r="B9" s="2">
        <v>3120.54</v>
      </c>
      <c r="C9">
        <v>18</v>
      </c>
      <c r="D9">
        <v>14</v>
      </c>
      <c r="E9" s="3">
        <f t="shared" si="0"/>
        <v>252</v>
      </c>
      <c r="F9" s="1">
        <v>-3.2477187199999999</v>
      </c>
      <c r="G9" s="3">
        <v>12.887772698412698</v>
      </c>
      <c r="H9">
        <f t="shared" si="1"/>
        <v>-31.860120643200002</v>
      </c>
    </row>
    <row r="10" spans="1:8" x14ac:dyDescent="0.25">
      <c r="A10">
        <v>1132</v>
      </c>
      <c r="B10" s="2">
        <v>3106.98</v>
      </c>
      <c r="C10">
        <v>17.37</v>
      </c>
      <c r="D10">
        <v>14</v>
      </c>
      <c r="E10" s="3">
        <f t="shared" si="0"/>
        <v>243.18</v>
      </c>
      <c r="F10" s="1">
        <v>-3.1887517599999997</v>
      </c>
      <c r="G10" s="3">
        <v>13.112722098856812</v>
      </c>
      <c r="H10">
        <f t="shared" si="1"/>
        <v>-31.281654765599999</v>
      </c>
    </row>
    <row r="11" spans="1:8" x14ac:dyDescent="0.25">
      <c r="A11">
        <v>1136</v>
      </c>
      <c r="B11" s="2">
        <v>3070.9</v>
      </c>
      <c r="C11">
        <v>16.96</v>
      </c>
      <c r="D11">
        <v>14</v>
      </c>
      <c r="E11" s="3">
        <f t="shared" si="0"/>
        <v>237.44</v>
      </c>
      <c r="F11" s="1">
        <v>-3.1388566399999998</v>
      </c>
      <c r="G11" s="3">
        <v>13.219578167115904</v>
      </c>
      <c r="H11">
        <f t="shared" si="1"/>
        <v>-30.792183638399997</v>
      </c>
    </row>
    <row r="12" spans="1:8" x14ac:dyDescent="0.25">
      <c r="A12">
        <v>1140</v>
      </c>
      <c r="B12" s="2">
        <v>3048.83</v>
      </c>
      <c r="C12">
        <v>16.54</v>
      </c>
      <c r="D12">
        <v>14</v>
      </c>
      <c r="E12" s="3">
        <f t="shared" si="0"/>
        <v>231.56</v>
      </c>
      <c r="F12" s="1">
        <v>-3.0980333600000001</v>
      </c>
      <c r="G12" s="3">
        <v>13.378965969942994</v>
      </c>
      <c r="H12">
        <f t="shared" si="1"/>
        <v>-30.391707261600001</v>
      </c>
    </row>
    <row r="13" spans="1:8" x14ac:dyDescent="0.25">
      <c r="A13">
        <v>1144</v>
      </c>
      <c r="B13" s="2">
        <v>3025.3</v>
      </c>
      <c r="C13">
        <v>16.04</v>
      </c>
      <c r="D13">
        <v>14</v>
      </c>
      <c r="E13" s="3">
        <f t="shared" si="0"/>
        <v>224.56</v>
      </c>
      <c r="F13" s="1">
        <v>-3.0572100799999995</v>
      </c>
      <c r="G13" s="3">
        <v>13.614223726398286</v>
      </c>
      <c r="H13">
        <f t="shared" si="1"/>
        <v>-29.991230884799997</v>
      </c>
    </row>
    <row r="14" spans="1:8" x14ac:dyDescent="0.25">
      <c r="A14">
        <v>1148</v>
      </c>
      <c r="B14" s="2">
        <v>3004.3</v>
      </c>
      <c r="C14">
        <v>15.64</v>
      </c>
      <c r="D14">
        <v>14</v>
      </c>
      <c r="E14" s="3">
        <f t="shared" si="0"/>
        <v>218.96</v>
      </c>
      <c r="F14" s="1">
        <v>-3.0027790400000001</v>
      </c>
      <c r="G14" s="3">
        <v>13.713824625502374</v>
      </c>
      <c r="H14">
        <f t="shared" si="1"/>
        <v>-29.457262382400003</v>
      </c>
    </row>
    <row r="15" spans="1:8" x14ac:dyDescent="0.25">
      <c r="A15">
        <v>1152</v>
      </c>
      <c r="B15" s="2">
        <v>2979.37</v>
      </c>
      <c r="C15">
        <v>15.19</v>
      </c>
      <c r="D15">
        <v>14</v>
      </c>
      <c r="E15" s="3">
        <f t="shared" si="0"/>
        <v>212.66</v>
      </c>
      <c r="F15" s="1">
        <v>-2.9392761599999999</v>
      </c>
      <c r="G15" s="3">
        <v>13.821481049562681</v>
      </c>
      <c r="H15">
        <f t="shared" si="1"/>
        <v>-28.834299129600002</v>
      </c>
    </row>
    <row r="16" spans="1:8" x14ac:dyDescent="0.25">
      <c r="A16">
        <v>1156</v>
      </c>
      <c r="B16" s="2">
        <v>2953.53</v>
      </c>
      <c r="C16">
        <v>14.71</v>
      </c>
      <c r="D16">
        <v>14</v>
      </c>
      <c r="E16" s="3">
        <f t="shared" si="0"/>
        <v>205.94</v>
      </c>
      <c r="F16" s="1">
        <v>-2.8848451199999996</v>
      </c>
      <c r="G16" s="3">
        <v>14.008182577449741</v>
      </c>
      <c r="H16">
        <f t="shared" si="1"/>
        <v>-28.300330627199997</v>
      </c>
    </row>
    <row r="17" spans="1:8" x14ac:dyDescent="0.25">
      <c r="A17">
        <v>1160</v>
      </c>
      <c r="B17" s="2">
        <v>2936.83</v>
      </c>
      <c r="C17">
        <v>14.33</v>
      </c>
      <c r="D17">
        <v>14</v>
      </c>
      <c r="E17" s="3">
        <f t="shared" si="0"/>
        <v>200.62</v>
      </c>
      <c r="F17" s="1">
        <v>-2.8485577599999998</v>
      </c>
      <c r="G17" s="3">
        <v>14.198772604924731</v>
      </c>
      <c r="H17">
        <f t="shared" si="1"/>
        <v>-27.9443516256</v>
      </c>
    </row>
    <row r="18" spans="1:8" x14ac:dyDescent="0.25">
      <c r="A18">
        <v>1164</v>
      </c>
      <c r="B18" s="2">
        <v>2914.06</v>
      </c>
      <c r="C18">
        <v>13.93</v>
      </c>
      <c r="D18">
        <v>14</v>
      </c>
      <c r="E18" s="3">
        <f t="shared" si="0"/>
        <v>195.01999999999998</v>
      </c>
      <c r="F18" s="1">
        <v>-2.7805189599999998</v>
      </c>
      <c r="G18" s="3">
        <v>14.257609270844016</v>
      </c>
      <c r="H18">
        <f t="shared" si="1"/>
        <v>-27.276890997599999</v>
      </c>
    </row>
    <row r="19" spans="1:8" x14ac:dyDescent="0.25">
      <c r="A19">
        <v>1168</v>
      </c>
      <c r="B19" s="2">
        <v>2883.22</v>
      </c>
      <c r="C19">
        <v>13.57</v>
      </c>
      <c r="D19">
        <v>14</v>
      </c>
      <c r="E19" s="3">
        <f t="shared" si="0"/>
        <v>189.98000000000002</v>
      </c>
      <c r="F19" s="1">
        <v>-2.7623752800000001</v>
      </c>
      <c r="G19" s="3">
        <v>14.540347826086954</v>
      </c>
      <c r="H19">
        <f t="shared" si="1"/>
        <v>-27.098901496800003</v>
      </c>
    </row>
    <row r="20" spans="1:8" x14ac:dyDescent="0.25">
      <c r="A20">
        <v>1172</v>
      </c>
      <c r="B20" s="2">
        <v>2861</v>
      </c>
      <c r="C20">
        <v>13.1</v>
      </c>
      <c r="D20">
        <v>14</v>
      </c>
      <c r="E20" s="3">
        <f t="shared" si="0"/>
        <v>183.4</v>
      </c>
      <c r="F20" s="1">
        <v>-2.6898005599999997</v>
      </c>
      <c r="G20" s="3">
        <v>14.66630621592148</v>
      </c>
      <c r="H20">
        <f t="shared" si="1"/>
        <v>-26.386943493599997</v>
      </c>
    </row>
    <row r="21" spans="1:8" x14ac:dyDescent="0.25">
      <c r="A21">
        <v>1176</v>
      </c>
      <c r="B21" s="2">
        <v>2847.43</v>
      </c>
      <c r="C21">
        <v>12.7</v>
      </c>
      <c r="D21">
        <v>14</v>
      </c>
      <c r="E21" s="3">
        <f t="shared" si="0"/>
        <v>177.79999999999998</v>
      </c>
      <c r="F21" s="1">
        <v>-2.6444413600000001</v>
      </c>
      <c r="G21" s="3">
        <v>14.873123509561305</v>
      </c>
      <c r="H21">
        <f t="shared" si="1"/>
        <v>-25.941969741600001</v>
      </c>
    </row>
    <row r="22" spans="1:8" x14ac:dyDescent="0.25">
      <c r="A22">
        <v>1180</v>
      </c>
      <c r="B22" s="2">
        <v>2814.56</v>
      </c>
      <c r="C22">
        <v>12.4</v>
      </c>
      <c r="D22">
        <v>14</v>
      </c>
      <c r="E22" s="3">
        <f t="shared" si="0"/>
        <v>173.6</v>
      </c>
      <c r="F22" s="1">
        <v>-2.5945462399999997</v>
      </c>
      <c r="G22" s="3">
        <v>14.945542857142856</v>
      </c>
      <c r="H22">
        <f t="shared" si="1"/>
        <v>-25.4524986144</v>
      </c>
    </row>
    <row r="23" spans="1:8" x14ac:dyDescent="0.25">
      <c r="A23">
        <v>1184</v>
      </c>
      <c r="B23" s="2">
        <v>2802.26</v>
      </c>
      <c r="C23">
        <v>11.9</v>
      </c>
      <c r="D23">
        <v>14</v>
      </c>
      <c r="E23" s="3">
        <f t="shared" si="0"/>
        <v>166.6</v>
      </c>
      <c r="F23" s="1">
        <v>-2.5265074399999996</v>
      </c>
      <c r="G23" s="3">
        <v>15.16511068427371</v>
      </c>
      <c r="H23">
        <f t="shared" si="1"/>
        <v>-24.785037986399999</v>
      </c>
    </row>
    <row r="24" spans="1:8" x14ac:dyDescent="0.25">
      <c r="A24">
        <v>1188</v>
      </c>
      <c r="B24" s="2">
        <v>2776.19</v>
      </c>
      <c r="C24">
        <v>11.6</v>
      </c>
      <c r="D24">
        <v>14</v>
      </c>
      <c r="E24" s="3">
        <f t="shared" si="0"/>
        <v>162.4</v>
      </c>
      <c r="F24" s="1">
        <v>-2.4902200799999998</v>
      </c>
      <c r="G24" s="3">
        <v>15.333867487684726</v>
      </c>
      <c r="H24">
        <f t="shared" si="1"/>
        <v>-24.429058984800001</v>
      </c>
    </row>
    <row r="25" spans="1:8" x14ac:dyDescent="0.25">
      <c r="A25">
        <v>1192</v>
      </c>
      <c r="B25" s="2">
        <v>2739.63</v>
      </c>
      <c r="C25">
        <v>11.3</v>
      </c>
      <c r="D25">
        <v>14</v>
      </c>
      <c r="E25" s="3">
        <f t="shared" si="0"/>
        <v>158.20000000000002</v>
      </c>
      <c r="F25" s="1">
        <v>-2.4539327200000001</v>
      </c>
      <c r="G25" s="3">
        <v>15.511584829329959</v>
      </c>
      <c r="H25">
        <f t="shared" si="1"/>
        <v>-24.073079983200003</v>
      </c>
    </row>
    <row r="26" spans="1:8" x14ac:dyDescent="0.25">
      <c r="A26">
        <v>1196</v>
      </c>
      <c r="B26" s="2">
        <v>2704.73</v>
      </c>
      <c r="C26">
        <v>11</v>
      </c>
      <c r="D26">
        <v>14</v>
      </c>
      <c r="E26" s="3">
        <f t="shared" si="0"/>
        <v>154</v>
      </c>
      <c r="F26" s="1">
        <v>-2.4085735199999996</v>
      </c>
      <c r="G26" s="3">
        <v>15.640087792207792</v>
      </c>
      <c r="H26">
        <f t="shared" si="1"/>
        <v>-23.628106231199997</v>
      </c>
    </row>
    <row r="27" spans="1:8" x14ac:dyDescent="0.25">
      <c r="A27">
        <v>1200</v>
      </c>
      <c r="B27" s="2">
        <v>2697.09</v>
      </c>
      <c r="C27">
        <v>10.6</v>
      </c>
      <c r="D27">
        <v>14</v>
      </c>
      <c r="E27" s="3">
        <f t="shared" si="0"/>
        <v>148.4</v>
      </c>
      <c r="F27" s="1">
        <v>-2.3496065599999998</v>
      </c>
      <c r="G27" s="3">
        <v>15.83292830188679</v>
      </c>
      <c r="H27">
        <f t="shared" si="1"/>
        <v>-23.049640353599997</v>
      </c>
    </row>
    <row r="28" spans="1:8" x14ac:dyDescent="0.25">
      <c r="A28">
        <v>1204</v>
      </c>
      <c r="B28" s="2">
        <v>2658.7</v>
      </c>
      <c r="C28">
        <v>10.36</v>
      </c>
      <c r="D28">
        <v>14</v>
      </c>
      <c r="E28" s="3">
        <f t="shared" si="0"/>
        <v>145.04</v>
      </c>
      <c r="F28" s="1">
        <v>-2.3359987999999996</v>
      </c>
      <c r="G28" s="3">
        <v>16.105893546607831</v>
      </c>
      <c r="H28">
        <f t="shared" si="1"/>
        <v>-22.916148227999997</v>
      </c>
    </row>
    <row r="29" spans="1:8" x14ac:dyDescent="0.25">
      <c r="A29">
        <v>1208</v>
      </c>
      <c r="B29" s="2">
        <v>2658.2</v>
      </c>
      <c r="C29">
        <v>9.93</v>
      </c>
      <c r="D29">
        <v>14</v>
      </c>
      <c r="E29" s="3">
        <f t="shared" si="0"/>
        <v>139.01999999999998</v>
      </c>
      <c r="F29" s="1">
        <v>-2.2588881599999997</v>
      </c>
      <c r="G29" s="3">
        <v>16.248656020716442</v>
      </c>
      <c r="H29">
        <f t="shared" si="1"/>
        <v>-22.159692849599999</v>
      </c>
    </row>
    <row r="30" spans="1:8" x14ac:dyDescent="0.25">
      <c r="A30">
        <v>1212</v>
      </c>
      <c r="B30" s="2">
        <v>2619.4299999999998</v>
      </c>
      <c r="C30">
        <v>9.67</v>
      </c>
      <c r="D30">
        <v>14</v>
      </c>
      <c r="E30" s="3">
        <f t="shared" si="0"/>
        <v>135.38</v>
      </c>
      <c r="F30" s="1">
        <v>-2.2044571199999998</v>
      </c>
      <c r="G30" s="3">
        <v>16.283477027625938</v>
      </c>
      <c r="H30">
        <f t="shared" si="1"/>
        <v>-21.625724347199998</v>
      </c>
    </row>
    <row r="31" spans="1:8" x14ac:dyDescent="0.25">
      <c r="A31">
        <v>1216</v>
      </c>
      <c r="B31" s="2">
        <v>2598.21</v>
      </c>
      <c r="C31">
        <v>9.33</v>
      </c>
      <c r="D31">
        <v>14</v>
      </c>
      <c r="E31" s="3">
        <f t="shared" si="0"/>
        <v>130.62</v>
      </c>
      <c r="F31" s="1">
        <v>-2.1772415999999999</v>
      </c>
      <c r="G31" s="3">
        <v>16.668516306844278</v>
      </c>
      <c r="H31">
        <f t="shared" si="1"/>
        <v>-21.358740095999998</v>
      </c>
    </row>
    <row r="32" spans="1:8" x14ac:dyDescent="0.25">
      <c r="A32">
        <v>1220</v>
      </c>
      <c r="B32" s="2">
        <v>2565.5300000000002</v>
      </c>
      <c r="C32">
        <v>9</v>
      </c>
      <c r="D32">
        <v>14</v>
      </c>
      <c r="E32" s="3">
        <f t="shared" si="0"/>
        <v>126</v>
      </c>
      <c r="F32" s="1">
        <v>-2.1182746400000001</v>
      </c>
      <c r="G32" s="3">
        <v>16.811703492063494</v>
      </c>
      <c r="H32">
        <f t="shared" si="1"/>
        <v>-20.780274218400002</v>
      </c>
    </row>
    <row r="33" spans="1:8" x14ac:dyDescent="0.25">
      <c r="A33">
        <v>1224</v>
      </c>
      <c r="B33" s="2">
        <v>2543.29</v>
      </c>
      <c r="C33">
        <v>8.6999999999999993</v>
      </c>
      <c r="D33">
        <v>14</v>
      </c>
      <c r="E33" s="3">
        <f t="shared" si="0"/>
        <v>121.79999999999998</v>
      </c>
      <c r="F33" s="1">
        <v>-2.0547717599999995</v>
      </c>
      <c r="G33" s="3">
        <v>16.870047290640393</v>
      </c>
      <c r="H33">
        <f t="shared" si="1"/>
        <v>-20.157310965599997</v>
      </c>
    </row>
    <row r="34" spans="1:8" x14ac:dyDescent="0.25">
      <c r="A34">
        <v>1228</v>
      </c>
      <c r="B34" s="2">
        <v>2503.75</v>
      </c>
      <c r="C34">
        <v>8.4</v>
      </c>
      <c r="D34">
        <v>14</v>
      </c>
      <c r="E34" s="3">
        <f t="shared" si="0"/>
        <v>117.60000000000001</v>
      </c>
      <c r="F34" s="1">
        <v>-2.02755624</v>
      </c>
      <c r="G34" s="3">
        <v>17.241124489795915</v>
      </c>
      <c r="H34">
        <f t="shared" si="1"/>
        <v>-19.8903267144</v>
      </c>
    </row>
    <row r="35" spans="1:8" x14ac:dyDescent="0.25">
      <c r="A35">
        <v>1232</v>
      </c>
      <c r="B35" s="2">
        <v>2482.3000000000002</v>
      </c>
      <c r="C35">
        <v>8</v>
      </c>
      <c r="D35">
        <v>14</v>
      </c>
      <c r="E35" s="3">
        <f t="shared" ref="E35:E66" si="2">C35*D35</f>
        <v>112</v>
      </c>
      <c r="F35" s="1">
        <v>-1.9867329599999999</v>
      </c>
      <c r="G35" s="3">
        <v>17.738687142857142</v>
      </c>
      <c r="H35">
        <f t="shared" si="1"/>
        <v>-19.4898503376</v>
      </c>
    </row>
    <row r="36" spans="1:8" x14ac:dyDescent="0.25">
      <c r="A36">
        <v>1236</v>
      </c>
      <c r="B36" s="2">
        <v>2452.4</v>
      </c>
      <c r="C36">
        <v>7.7</v>
      </c>
      <c r="D36">
        <v>14</v>
      </c>
      <c r="E36" s="3">
        <f t="shared" si="2"/>
        <v>107.8</v>
      </c>
      <c r="F36" s="1">
        <v>-1.90962232</v>
      </c>
      <c r="G36" s="3">
        <v>17.714492764378477</v>
      </c>
      <c r="H36">
        <f t="shared" si="1"/>
        <v>-18.733394959200002</v>
      </c>
    </row>
    <row r="37" spans="1:8" x14ac:dyDescent="0.25">
      <c r="A37">
        <v>1240</v>
      </c>
      <c r="B37" s="2">
        <v>2418.4</v>
      </c>
      <c r="C37">
        <v>7.4</v>
      </c>
      <c r="D37">
        <v>14</v>
      </c>
      <c r="E37" s="3">
        <f t="shared" si="2"/>
        <v>103.60000000000001</v>
      </c>
      <c r="F37" s="1">
        <v>-1.8914786399999999</v>
      </c>
      <c r="G37" s="3">
        <v>18.257515830115828</v>
      </c>
      <c r="H37">
        <f t="shared" si="1"/>
        <v>-18.555405458399999</v>
      </c>
    </row>
    <row r="38" spans="1:8" x14ac:dyDescent="0.25">
      <c r="A38">
        <v>1244</v>
      </c>
      <c r="B38" s="2">
        <v>2404.79</v>
      </c>
      <c r="C38">
        <v>7.04</v>
      </c>
      <c r="D38">
        <v>14</v>
      </c>
      <c r="E38" s="3">
        <f t="shared" si="2"/>
        <v>98.56</v>
      </c>
      <c r="F38" s="1">
        <v>-1.8189039199999999</v>
      </c>
      <c r="G38" s="3">
        <v>18.454788149350648</v>
      </c>
      <c r="H38">
        <f t="shared" si="1"/>
        <v>-17.8434474552</v>
      </c>
    </row>
    <row r="39" spans="1:8" x14ac:dyDescent="0.25">
      <c r="A39">
        <v>1248</v>
      </c>
      <c r="B39" s="2">
        <v>2365.92</v>
      </c>
      <c r="C39">
        <v>6.8</v>
      </c>
      <c r="D39">
        <v>14</v>
      </c>
      <c r="E39" s="3">
        <f t="shared" si="2"/>
        <v>95.2</v>
      </c>
      <c r="F39" s="1">
        <v>-1.76447288</v>
      </c>
      <c r="G39" s="3">
        <v>18.53437899159664</v>
      </c>
      <c r="H39">
        <f t="shared" si="1"/>
        <v>-17.309478952800003</v>
      </c>
    </row>
    <row r="40" spans="1:8" x14ac:dyDescent="0.25">
      <c r="A40">
        <v>1252</v>
      </c>
      <c r="B40" s="2">
        <v>2330.73</v>
      </c>
      <c r="C40">
        <v>6.5</v>
      </c>
      <c r="D40">
        <v>14</v>
      </c>
      <c r="E40" s="3">
        <f t="shared" si="2"/>
        <v>91</v>
      </c>
      <c r="F40" s="1">
        <v>-1.71911368</v>
      </c>
      <c r="G40" s="3">
        <v>18.89135912087912</v>
      </c>
      <c r="H40">
        <f t="shared" si="1"/>
        <v>-16.8645052008</v>
      </c>
    </row>
    <row r="41" spans="1:8" x14ac:dyDescent="0.25">
      <c r="A41">
        <v>1256</v>
      </c>
      <c r="B41" s="2">
        <v>2302.44</v>
      </c>
      <c r="C41">
        <v>6.29</v>
      </c>
      <c r="D41">
        <v>14</v>
      </c>
      <c r="E41" s="3">
        <f t="shared" si="2"/>
        <v>88.06</v>
      </c>
      <c r="F41" s="1">
        <v>-1.6828263200000002</v>
      </c>
      <c r="G41" s="3">
        <v>19.109996820349764</v>
      </c>
      <c r="H41">
        <f t="shared" si="1"/>
        <v>-16.508526199200002</v>
      </c>
    </row>
    <row r="42" spans="1:8" x14ac:dyDescent="0.25">
      <c r="A42">
        <v>1260</v>
      </c>
      <c r="B42" s="2">
        <v>2271.3000000000002</v>
      </c>
      <c r="C42">
        <v>6</v>
      </c>
      <c r="D42">
        <v>14</v>
      </c>
      <c r="E42" s="3">
        <f t="shared" si="2"/>
        <v>84</v>
      </c>
      <c r="F42" s="1">
        <v>-1.6329312</v>
      </c>
      <c r="G42" s="3">
        <v>19.439657142857143</v>
      </c>
      <c r="H42">
        <f t="shared" si="1"/>
        <v>-16.019055072</v>
      </c>
    </row>
    <row r="43" spans="1:8" x14ac:dyDescent="0.25">
      <c r="A43">
        <v>1264</v>
      </c>
      <c r="B43" s="2">
        <v>2246.36</v>
      </c>
      <c r="C43">
        <v>5.77</v>
      </c>
      <c r="D43">
        <v>14</v>
      </c>
      <c r="E43" s="3">
        <f t="shared" si="2"/>
        <v>80.78</v>
      </c>
      <c r="F43" s="1">
        <v>-1.5785001599999999</v>
      </c>
      <c r="G43" s="3">
        <v>19.540729883634562</v>
      </c>
      <c r="H43">
        <f t="shared" si="1"/>
        <v>-15.4850865696</v>
      </c>
    </row>
    <row r="44" spans="1:8" x14ac:dyDescent="0.25">
      <c r="A44">
        <v>1268</v>
      </c>
      <c r="B44" s="2">
        <v>2220.63</v>
      </c>
      <c r="C44">
        <v>5.5</v>
      </c>
      <c r="D44">
        <v>14</v>
      </c>
      <c r="E44" s="3">
        <f t="shared" si="2"/>
        <v>77</v>
      </c>
      <c r="F44" s="1">
        <v>-1.5648924</v>
      </c>
      <c r="G44" s="3">
        <v>20.323277922077921</v>
      </c>
      <c r="H44">
        <f t="shared" si="1"/>
        <v>-15.351594444</v>
      </c>
    </row>
    <row r="45" spans="1:8" x14ac:dyDescent="0.25">
      <c r="A45">
        <v>1272</v>
      </c>
      <c r="B45" s="2">
        <v>2193.77</v>
      </c>
      <c r="C45">
        <v>5.34</v>
      </c>
      <c r="D45">
        <v>14</v>
      </c>
      <c r="E45" s="3">
        <f t="shared" si="2"/>
        <v>74.759999999999991</v>
      </c>
      <c r="F45" s="1">
        <v>-1.5195331999999999</v>
      </c>
      <c r="G45" s="3">
        <v>20.325484216158376</v>
      </c>
      <c r="H45">
        <f t="shared" si="1"/>
        <v>-14.906620692000001</v>
      </c>
    </row>
    <row r="46" spans="1:8" x14ac:dyDescent="0.25">
      <c r="A46">
        <v>1276</v>
      </c>
      <c r="B46" s="2">
        <v>2170.6</v>
      </c>
      <c r="C46">
        <v>5.0999999999999996</v>
      </c>
      <c r="D46">
        <v>14</v>
      </c>
      <c r="E46" s="3">
        <f t="shared" si="2"/>
        <v>71.399999999999991</v>
      </c>
      <c r="F46" s="1">
        <v>-1.47870992</v>
      </c>
      <c r="G46" s="3">
        <v>20.710222969187679</v>
      </c>
      <c r="H46">
        <f t="shared" si="1"/>
        <v>-14.5061443152</v>
      </c>
    </row>
    <row r="47" spans="1:8" x14ac:dyDescent="0.25">
      <c r="A47">
        <v>1280</v>
      </c>
      <c r="B47" s="2">
        <v>2139.34</v>
      </c>
      <c r="C47">
        <v>4.9000000000000004</v>
      </c>
      <c r="D47">
        <v>14</v>
      </c>
      <c r="E47" s="3">
        <f t="shared" si="2"/>
        <v>68.600000000000009</v>
      </c>
      <c r="F47" s="1">
        <v>-1.44242256</v>
      </c>
      <c r="G47" s="3">
        <v>21.026567930029152</v>
      </c>
      <c r="H47">
        <f t="shared" si="1"/>
        <v>-14.150165313600001</v>
      </c>
    </row>
    <row r="48" spans="1:8" x14ac:dyDescent="0.25">
      <c r="A48">
        <v>1284</v>
      </c>
      <c r="B48" s="2">
        <v>2116.44</v>
      </c>
      <c r="C48">
        <v>4.7</v>
      </c>
      <c r="D48">
        <v>14</v>
      </c>
      <c r="E48" s="3">
        <f t="shared" si="2"/>
        <v>65.8</v>
      </c>
      <c r="F48" s="1">
        <v>-1.4015992800000001</v>
      </c>
      <c r="G48" s="3">
        <v>21.300900911854107</v>
      </c>
      <c r="H48">
        <f t="shared" si="1"/>
        <v>-13.749688936800002</v>
      </c>
    </row>
    <row r="49" spans="1:8" x14ac:dyDescent="0.25">
      <c r="A49">
        <v>1288</v>
      </c>
      <c r="B49" s="2">
        <v>2081.06</v>
      </c>
      <c r="C49">
        <v>4.5</v>
      </c>
      <c r="D49">
        <v>14</v>
      </c>
      <c r="E49" s="3">
        <f t="shared" si="2"/>
        <v>63</v>
      </c>
      <c r="F49" s="1">
        <v>-1.36984784</v>
      </c>
      <c r="G49" s="3">
        <v>21.743616507936505</v>
      </c>
      <c r="H49">
        <f t="shared" si="1"/>
        <v>-13.438207310400001</v>
      </c>
    </row>
    <row r="50" spans="1:8" x14ac:dyDescent="0.25">
      <c r="A50">
        <v>1292</v>
      </c>
      <c r="B50" s="2">
        <v>2055.7600000000002</v>
      </c>
      <c r="C50">
        <v>4.29</v>
      </c>
      <c r="D50">
        <v>14</v>
      </c>
      <c r="E50" s="3">
        <f t="shared" si="2"/>
        <v>60.06</v>
      </c>
      <c r="F50" s="1">
        <v>-1.3244886400000002</v>
      </c>
      <c r="G50" s="3">
        <v>22.052757908757908</v>
      </c>
      <c r="H50">
        <f t="shared" si="1"/>
        <v>-12.993233558400004</v>
      </c>
    </row>
    <row r="51" spans="1:8" x14ac:dyDescent="0.25">
      <c r="A51">
        <v>1296</v>
      </c>
      <c r="B51" s="2">
        <v>2022.58</v>
      </c>
      <c r="C51">
        <v>4.0999999999999996</v>
      </c>
      <c r="D51">
        <v>14</v>
      </c>
      <c r="E51" s="3">
        <f t="shared" si="2"/>
        <v>57.399999999999991</v>
      </c>
      <c r="F51" s="1">
        <v>-1.2836653600000001</v>
      </c>
      <c r="G51" s="3">
        <v>22.363508013937285</v>
      </c>
      <c r="H51">
        <f t="shared" si="1"/>
        <v>-12.592757181600001</v>
      </c>
    </row>
    <row r="52" spans="1:8" x14ac:dyDescent="0.25">
      <c r="A52">
        <v>1300</v>
      </c>
      <c r="B52" s="2">
        <v>1994.8</v>
      </c>
      <c r="C52">
        <v>3.9</v>
      </c>
      <c r="D52">
        <v>14</v>
      </c>
      <c r="E52" s="3">
        <f t="shared" si="2"/>
        <v>54.6</v>
      </c>
      <c r="F52" s="1">
        <v>-1.23830616</v>
      </c>
      <c r="G52" s="3">
        <v>22.679599999999997</v>
      </c>
      <c r="H52">
        <f t="shared" si="1"/>
        <v>-12.1477834296</v>
      </c>
    </row>
    <row r="53" spans="1:8" x14ac:dyDescent="0.25">
      <c r="A53">
        <v>1304</v>
      </c>
      <c r="B53" s="2">
        <v>1959.18</v>
      </c>
      <c r="C53">
        <v>3.7</v>
      </c>
      <c r="D53">
        <v>14</v>
      </c>
      <c r="E53" s="3">
        <f t="shared" si="2"/>
        <v>51.800000000000004</v>
      </c>
      <c r="F53" s="1">
        <v>-1.1929469600000002</v>
      </c>
      <c r="G53" s="3">
        <v>23.029864092664095</v>
      </c>
      <c r="H53">
        <f t="shared" si="1"/>
        <v>-11.702809677600003</v>
      </c>
    </row>
    <row r="54" spans="1:8" x14ac:dyDescent="0.25">
      <c r="A54">
        <v>1308</v>
      </c>
      <c r="B54" s="2">
        <v>1930.36</v>
      </c>
      <c r="C54">
        <v>3.5</v>
      </c>
      <c r="D54">
        <v>14</v>
      </c>
      <c r="E54" s="3">
        <f t="shared" si="2"/>
        <v>49</v>
      </c>
      <c r="F54" s="1">
        <v>-1.1657314400000001</v>
      </c>
      <c r="G54" s="3">
        <v>23.790437551020407</v>
      </c>
      <c r="H54">
        <f t="shared" si="1"/>
        <v>-11.435825426400001</v>
      </c>
    </row>
    <row r="55" spans="1:8" x14ac:dyDescent="0.25">
      <c r="A55">
        <v>1312</v>
      </c>
      <c r="B55" s="2">
        <v>1896.19</v>
      </c>
      <c r="C55">
        <v>3.3</v>
      </c>
      <c r="D55">
        <v>14</v>
      </c>
      <c r="E55" s="3">
        <f t="shared" si="2"/>
        <v>46.199999999999996</v>
      </c>
      <c r="F55" s="1">
        <v>-1.1249081599999999</v>
      </c>
      <c r="G55" s="3">
        <v>24.348661471861472</v>
      </c>
      <c r="H55">
        <f t="shared" si="1"/>
        <v>-11.035349049600001</v>
      </c>
    </row>
    <row r="56" spans="1:8" x14ac:dyDescent="0.25">
      <c r="A56">
        <v>1316</v>
      </c>
      <c r="B56" s="2">
        <v>1872.9</v>
      </c>
      <c r="C56">
        <v>3.2</v>
      </c>
      <c r="D56">
        <v>14</v>
      </c>
      <c r="E56" s="3">
        <f t="shared" si="2"/>
        <v>44.800000000000004</v>
      </c>
      <c r="F56" s="1">
        <v>-1.0886208000000002</v>
      </c>
      <c r="G56" s="3">
        <v>24.299571428571429</v>
      </c>
      <c r="H56">
        <f t="shared" si="1"/>
        <v>-10.679370048000003</v>
      </c>
    </row>
    <row r="57" spans="1:8" x14ac:dyDescent="0.25">
      <c r="A57">
        <v>1320</v>
      </c>
      <c r="B57" s="2">
        <v>1838.11</v>
      </c>
      <c r="C57">
        <v>3</v>
      </c>
      <c r="D57">
        <v>14</v>
      </c>
      <c r="E57" s="3">
        <f t="shared" si="2"/>
        <v>42</v>
      </c>
      <c r="F57" s="1">
        <v>-1.0523334400000002</v>
      </c>
      <c r="G57" s="3">
        <v>25.055558095238098</v>
      </c>
      <c r="H57">
        <f t="shared" si="1"/>
        <v>-10.323391046400003</v>
      </c>
    </row>
    <row r="58" spans="1:8" x14ac:dyDescent="0.25">
      <c r="A58">
        <v>1324</v>
      </c>
      <c r="B58" s="2">
        <v>1813.29</v>
      </c>
      <c r="C58">
        <v>2.9</v>
      </c>
      <c r="D58">
        <v>14</v>
      </c>
      <c r="E58" s="3">
        <f t="shared" si="2"/>
        <v>40.6</v>
      </c>
      <c r="F58" s="1">
        <v>-1.0160460800000002</v>
      </c>
      <c r="G58" s="3">
        <v>25.025765517241382</v>
      </c>
      <c r="H58">
        <f t="shared" si="1"/>
        <v>-9.9674120448000032</v>
      </c>
    </row>
    <row r="59" spans="1:8" x14ac:dyDescent="0.25">
      <c r="A59">
        <v>1328</v>
      </c>
      <c r="B59" s="2">
        <v>1784.61</v>
      </c>
      <c r="C59">
        <v>2.7</v>
      </c>
      <c r="D59">
        <v>14</v>
      </c>
      <c r="E59" s="3">
        <f t="shared" si="2"/>
        <v>37.800000000000004</v>
      </c>
      <c r="F59" s="1">
        <v>-0.98429464000000011</v>
      </c>
      <c r="G59" s="3">
        <v>26.039540740740744</v>
      </c>
      <c r="H59">
        <f t="shared" si="1"/>
        <v>-9.6559304184000023</v>
      </c>
    </row>
    <row r="60" spans="1:8" x14ac:dyDescent="0.25">
      <c r="A60">
        <v>1332</v>
      </c>
      <c r="B60" s="2">
        <v>1754.27</v>
      </c>
      <c r="C60">
        <v>2.5</v>
      </c>
      <c r="D60">
        <v>14</v>
      </c>
      <c r="E60" s="3">
        <f t="shared" si="2"/>
        <v>35</v>
      </c>
      <c r="F60" s="1">
        <v>-0.95254320000000003</v>
      </c>
      <c r="G60" s="3">
        <v>27.215519999999998</v>
      </c>
      <c r="H60">
        <f t="shared" si="1"/>
        <v>-9.3444487920000014</v>
      </c>
    </row>
    <row r="61" spans="1:8" x14ac:dyDescent="0.25">
      <c r="A61">
        <v>1336</v>
      </c>
      <c r="B61" s="2">
        <v>1724.22</v>
      </c>
      <c r="C61">
        <v>2.2999999999999998</v>
      </c>
      <c r="D61">
        <v>14</v>
      </c>
      <c r="E61" s="3">
        <f t="shared" si="2"/>
        <v>32.199999999999996</v>
      </c>
      <c r="F61" s="1">
        <v>-0.91625584000000004</v>
      </c>
      <c r="G61" s="3">
        <v>28.455150310559006</v>
      </c>
      <c r="H61">
        <f t="shared" si="1"/>
        <v>-8.9884697904000017</v>
      </c>
    </row>
    <row r="62" spans="1:8" x14ac:dyDescent="0.25">
      <c r="A62">
        <v>1340</v>
      </c>
      <c r="B62" s="2">
        <v>1688.58</v>
      </c>
      <c r="C62">
        <v>2.2000000000000002</v>
      </c>
      <c r="D62">
        <v>14</v>
      </c>
      <c r="E62" s="3">
        <f t="shared" si="2"/>
        <v>30.800000000000004</v>
      </c>
      <c r="F62" s="1">
        <v>-0.88450439999999997</v>
      </c>
      <c r="G62" s="3">
        <v>28.717675324675319</v>
      </c>
      <c r="H62">
        <f t="shared" si="1"/>
        <v>-8.6769881640000008</v>
      </c>
    </row>
    <row r="63" spans="1:8" x14ac:dyDescent="0.25">
      <c r="A63">
        <v>1344</v>
      </c>
      <c r="B63" s="2">
        <v>1658.74</v>
      </c>
      <c r="C63">
        <v>2</v>
      </c>
      <c r="D63">
        <v>14</v>
      </c>
      <c r="E63" s="3">
        <f t="shared" si="2"/>
        <v>28</v>
      </c>
      <c r="F63" s="1">
        <v>-0.84821703999999998</v>
      </c>
      <c r="G63" s="3">
        <v>30.293465714285709</v>
      </c>
      <c r="H63">
        <f t="shared" si="1"/>
        <v>-8.3210091623999993</v>
      </c>
    </row>
    <row r="64" spans="1:8" x14ac:dyDescent="0.25">
      <c r="A64">
        <v>1348</v>
      </c>
      <c r="B64" s="2">
        <v>1624.8</v>
      </c>
      <c r="C64">
        <v>1.9</v>
      </c>
      <c r="D64">
        <v>14</v>
      </c>
      <c r="E64" s="3">
        <f t="shared" si="2"/>
        <v>26.599999999999998</v>
      </c>
      <c r="F64" s="1">
        <v>-0.80739375999999996</v>
      </c>
      <c r="G64" s="3">
        <v>30.353148872180451</v>
      </c>
      <c r="H64">
        <f t="shared" si="1"/>
        <v>-7.9205327855999998</v>
      </c>
    </row>
    <row r="65" spans="1:8" x14ac:dyDescent="0.25">
      <c r="A65">
        <v>1352</v>
      </c>
      <c r="B65" s="2">
        <v>1589.51</v>
      </c>
      <c r="C65">
        <v>1.7</v>
      </c>
      <c r="D65">
        <v>14</v>
      </c>
      <c r="E65" s="3">
        <f t="shared" si="2"/>
        <v>23.8</v>
      </c>
      <c r="F65" s="1">
        <v>-0.76657047999999994</v>
      </c>
      <c r="G65" s="3">
        <v>32.20884369747899</v>
      </c>
      <c r="H65">
        <f t="shared" si="1"/>
        <v>-7.5200564087999995</v>
      </c>
    </row>
    <row r="66" spans="1:8" x14ac:dyDescent="0.25">
      <c r="A66">
        <v>1356</v>
      </c>
      <c r="B66" s="2">
        <v>1552.32</v>
      </c>
      <c r="C66">
        <v>1.6</v>
      </c>
      <c r="D66">
        <v>14</v>
      </c>
      <c r="E66" s="3">
        <f t="shared" si="2"/>
        <v>22.400000000000002</v>
      </c>
      <c r="F66" s="1">
        <v>-0.73935495999999989</v>
      </c>
      <c r="G66" s="3">
        <v>33.006917857142852</v>
      </c>
      <c r="H66">
        <f t="shared" si="1"/>
        <v>-7.2530721575999992</v>
      </c>
    </row>
    <row r="67" spans="1:8" x14ac:dyDescent="0.25">
      <c r="A67">
        <v>1360</v>
      </c>
      <c r="B67" s="2">
        <v>1523.47</v>
      </c>
      <c r="C67">
        <v>1.5</v>
      </c>
      <c r="D67">
        <v>14</v>
      </c>
      <c r="E67" s="3">
        <f t="shared" ref="E67:E98" si="3">C67*D67</f>
        <v>21</v>
      </c>
      <c r="F67" s="1">
        <v>-0.70306760000000001</v>
      </c>
      <c r="G67" s="3">
        <v>33.479409523809522</v>
      </c>
      <c r="H67">
        <f t="shared" ref="H67:H130" si="4">F67*9.81</f>
        <v>-6.8970931560000004</v>
      </c>
    </row>
    <row r="68" spans="1:8" x14ac:dyDescent="0.25">
      <c r="A68">
        <v>1364</v>
      </c>
      <c r="B68" s="2">
        <v>1487.32</v>
      </c>
      <c r="C68">
        <v>1.4</v>
      </c>
      <c r="D68">
        <v>14</v>
      </c>
      <c r="E68" s="3">
        <f t="shared" si="3"/>
        <v>19.599999999999998</v>
      </c>
      <c r="F68" s="1">
        <v>-0.68038799999999999</v>
      </c>
      <c r="G68" s="3">
        <v>34.713673469387757</v>
      </c>
      <c r="H68">
        <f t="shared" si="4"/>
        <v>-6.6746062799999999</v>
      </c>
    </row>
    <row r="69" spans="1:8" x14ac:dyDescent="0.25">
      <c r="A69">
        <v>1368</v>
      </c>
      <c r="B69" s="2">
        <v>1455.15</v>
      </c>
      <c r="C69">
        <v>1.3</v>
      </c>
      <c r="D69">
        <v>14</v>
      </c>
      <c r="E69" s="3">
        <f t="shared" si="3"/>
        <v>18.2</v>
      </c>
      <c r="F69" s="1">
        <v>-0.64863655999999992</v>
      </c>
      <c r="G69" s="3">
        <v>35.639371428571422</v>
      </c>
      <c r="H69">
        <f t="shared" si="4"/>
        <v>-6.3631246535999999</v>
      </c>
    </row>
    <row r="70" spans="1:8" x14ac:dyDescent="0.25">
      <c r="A70">
        <v>1372</v>
      </c>
      <c r="B70" s="2">
        <v>1420.91</v>
      </c>
      <c r="C70">
        <v>1.2</v>
      </c>
      <c r="D70">
        <v>14</v>
      </c>
      <c r="E70" s="3">
        <f t="shared" si="3"/>
        <v>16.8</v>
      </c>
      <c r="F70" s="1">
        <v>-0.62142103999999998</v>
      </c>
      <c r="G70" s="3">
        <v>36.989347619047614</v>
      </c>
      <c r="H70">
        <f t="shared" si="4"/>
        <v>-6.0961404024000005</v>
      </c>
    </row>
    <row r="71" spans="1:8" x14ac:dyDescent="0.25">
      <c r="A71">
        <v>1376</v>
      </c>
      <c r="B71" s="2">
        <v>1375.31</v>
      </c>
      <c r="C71">
        <v>1.1000000000000001</v>
      </c>
      <c r="D71">
        <v>14</v>
      </c>
      <c r="E71" s="3">
        <f t="shared" si="3"/>
        <v>15.400000000000002</v>
      </c>
      <c r="F71" s="1">
        <v>-0.58513367999999999</v>
      </c>
      <c r="G71" s="3">
        <v>37.995693506493502</v>
      </c>
      <c r="H71">
        <f t="shared" si="4"/>
        <v>-5.7401614007999999</v>
      </c>
    </row>
    <row r="72" spans="1:8" x14ac:dyDescent="0.25">
      <c r="A72">
        <v>1380</v>
      </c>
      <c r="B72" s="2">
        <v>1340.81</v>
      </c>
      <c r="C72">
        <v>1</v>
      </c>
      <c r="D72">
        <v>14</v>
      </c>
      <c r="E72" s="3">
        <f t="shared" si="3"/>
        <v>14</v>
      </c>
      <c r="F72" s="1">
        <v>-0.54884632</v>
      </c>
      <c r="G72" s="3">
        <v>39.203308571428572</v>
      </c>
      <c r="H72">
        <f t="shared" si="4"/>
        <v>-5.3841823992000002</v>
      </c>
    </row>
    <row r="73" spans="1:8" x14ac:dyDescent="0.25">
      <c r="A73">
        <v>1384</v>
      </c>
      <c r="B73" s="2">
        <v>1306.67</v>
      </c>
      <c r="C73">
        <v>0.9</v>
      </c>
      <c r="D73">
        <v>14</v>
      </c>
      <c r="E73" s="3">
        <f t="shared" si="3"/>
        <v>12.6</v>
      </c>
      <c r="F73" s="1">
        <v>-0.51709487999999992</v>
      </c>
      <c r="G73" s="3">
        <v>41.039276190476194</v>
      </c>
      <c r="H73">
        <f t="shared" si="4"/>
        <v>-5.0727007727999993</v>
      </c>
    </row>
    <row r="74" spans="1:8" x14ac:dyDescent="0.25">
      <c r="A74">
        <v>1388</v>
      </c>
      <c r="B74" s="2">
        <v>1267.97</v>
      </c>
      <c r="C74">
        <v>0.8</v>
      </c>
      <c r="D74">
        <v>14</v>
      </c>
      <c r="E74" s="3">
        <f t="shared" si="3"/>
        <v>11.200000000000001</v>
      </c>
      <c r="F74" s="1">
        <v>-0.48987936000000004</v>
      </c>
      <c r="G74" s="3">
        <v>43.739228571428569</v>
      </c>
      <c r="H74">
        <f t="shared" si="4"/>
        <v>-4.8057165216000008</v>
      </c>
    </row>
    <row r="75" spans="1:8" x14ac:dyDescent="0.25">
      <c r="A75">
        <v>1392</v>
      </c>
      <c r="B75" s="2">
        <v>1232.99</v>
      </c>
      <c r="C75">
        <v>0.8</v>
      </c>
      <c r="D75">
        <v>14</v>
      </c>
      <c r="E75" s="3">
        <f t="shared" si="3"/>
        <v>11.200000000000001</v>
      </c>
      <c r="F75" s="1">
        <v>-0.46266383999999999</v>
      </c>
      <c r="G75" s="3">
        <v>41.309271428571421</v>
      </c>
      <c r="H75">
        <f t="shared" si="4"/>
        <v>-4.5387322704000006</v>
      </c>
    </row>
    <row r="76" spans="1:8" x14ac:dyDescent="0.25">
      <c r="A76">
        <v>1396</v>
      </c>
      <c r="B76" s="2">
        <v>1187.7</v>
      </c>
      <c r="C76">
        <v>0.7</v>
      </c>
      <c r="D76">
        <v>14</v>
      </c>
      <c r="E76" s="3">
        <f t="shared" si="3"/>
        <v>9.7999999999999989</v>
      </c>
      <c r="F76" s="1">
        <v>-0.42637647999999995</v>
      </c>
      <c r="G76" s="3">
        <v>43.507804081632656</v>
      </c>
      <c r="H76">
        <f t="shared" si="4"/>
        <v>-4.1827532688</v>
      </c>
    </row>
    <row r="77" spans="1:8" x14ac:dyDescent="0.25">
      <c r="A77">
        <v>1400</v>
      </c>
      <c r="B77" s="2">
        <v>1149.6099999999999</v>
      </c>
      <c r="C77">
        <v>0.6</v>
      </c>
      <c r="D77">
        <v>14</v>
      </c>
      <c r="E77" s="3">
        <f t="shared" si="3"/>
        <v>8.4</v>
      </c>
      <c r="F77" s="1">
        <v>-0.39916096000000001</v>
      </c>
      <c r="G77" s="3">
        <v>47.519161904761901</v>
      </c>
      <c r="H77">
        <f t="shared" si="4"/>
        <v>-3.9157690176000002</v>
      </c>
    </row>
    <row r="78" spans="1:8" x14ac:dyDescent="0.25">
      <c r="A78">
        <v>1404</v>
      </c>
      <c r="B78" s="2">
        <v>1105.72</v>
      </c>
      <c r="C78">
        <v>0.5</v>
      </c>
      <c r="D78">
        <v>14</v>
      </c>
      <c r="E78" s="3">
        <f t="shared" si="3"/>
        <v>7</v>
      </c>
      <c r="F78" s="1">
        <v>-0.37194543999999996</v>
      </c>
      <c r="G78" s="3">
        <v>53.135062857142849</v>
      </c>
      <c r="H78">
        <f t="shared" si="4"/>
        <v>-3.6487847663999999</v>
      </c>
    </row>
    <row r="79" spans="1:8" x14ac:dyDescent="0.25">
      <c r="A79">
        <v>1408</v>
      </c>
      <c r="B79" s="2">
        <v>1063.81</v>
      </c>
      <c r="C79">
        <v>0.5</v>
      </c>
      <c r="D79">
        <v>14</v>
      </c>
      <c r="E79" s="3">
        <f t="shared" si="3"/>
        <v>7</v>
      </c>
      <c r="F79" s="1">
        <v>-0.34926583999999999</v>
      </c>
      <c r="G79" s="3">
        <v>49.895119999999999</v>
      </c>
      <c r="H79">
        <f t="shared" si="4"/>
        <v>-3.4262978904000003</v>
      </c>
    </row>
    <row r="80" spans="1:8" x14ac:dyDescent="0.25">
      <c r="A80">
        <v>1412</v>
      </c>
      <c r="B80" s="2">
        <v>1017.51</v>
      </c>
      <c r="C80">
        <v>0.4</v>
      </c>
      <c r="D80">
        <v>14</v>
      </c>
      <c r="E80" s="3">
        <f t="shared" si="3"/>
        <v>5.6000000000000005</v>
      </c>
      <c r="F80" s="1">
        <v>-0.31751439999999997</v>
      </c>
      <c r="G80" s="3">
        <v>56.698999999999991</v>
      </c>
      <c r="H80">
        <f t="shared" si="4"/>
        <v>-3.1148162639999999</v>
      </c>
    </row>
    <row r="81" spans="1:8" x14ac:dyDescent="0.25">
      <c r="A81">
        <v>1416</v>
      </c>
      <c r="B81" s="2">
        <v>974.07</v>
      </c>
      <c r="C81">
        <v>0.4</v>
      </c>
      <c r="D81">
        <v>14</v>
      </c>
      <c r="E81" s="3">
        <f t="shared" si="3"/>
        <v>5.6000000000000005</v>
      </c>
      <c r="F81" s="1">
        <v>-0.28576296000000001</v>
      </c>
      <c r="G81" s="3">
        <v>51.029099999999985</v>
      </c>
      <c r="H81">
        <f t="shared" si="4"/>
        <v>-2.8033346376000003</v>
      </c>
    </row>
    <row r="82" spans="1:8" x14ac:dyDescent="0.25">
      <c r="A82">
        <v>1420</v>
      </c>
      <c r="B82" s="2">
        <v>929.01</v>
      </c>
      <c r="C82">
        <v>0.3</v>
      </c>
      <c r="D82">
        <v>14</v>
      </c>
      <c r="E82" s="3">
        <f t="shared" si="3"/>
        <v>4.2</v>
      </c>
      <c r="F82" s="1">
        <v>-0.25854743999999996</v>
      </c>
      <c r="G82" s="3">
        <v>61.55891428571428</v>
      </c>
      <c r="H82">
        <f t="shared" si="4"/>
        <v>-2.5363503863999997</v>
      </c>
    </row>
    <row r="83" spans="1:8" x14ac:dyDescent="0.25">
      <c r="A83">
        <v>1424</v>
      </c>
      <c r="B83" s="2">
        <v>885.8</v>
      </c>
      <c r="C83">
        <v>0.3</v>
      </c>
      <c r="D83">
        <v>14</v>
      </c>
      <c r="E83" s="3">
        <f t="shared" si="3"/>
        <v>4.2</v>
      </c>
      <c r="F83" s="1">
        <v>-0.23586784</v>
      </c>
      <c r="G83" s="3">
        <v>56.159009523809523</v>
      </c>
      <c r="H83">
        <f t="shared" si="4"/>
        <v>-2.3138635104</v>
      </c>
    </row>
    <row r="84" spans="1:8" x14ac:dyDescent="0.25">
      <c r="A84">
        <v>1428</v>
      </c>
      <c r="B84" s="2">
        <v>834.28</v>
      </c>
      <c r="C84">
        <v>0.2</v>
      </c>
      <c r="D84">
        <v>14</v>
      </c>
      <c r="E84" s="3">
        <f t="shared" si="3"/>
        <v>2.8000000000000003</v>
      </c>
      <c r="F84" s="1">
        <v>-0.20865231999999997</v>
      </c>
      <c r="G84" s="3">
        <v>74.518685714285695</v>
      </c>
      <c r="H84">
        <f t="shared" si="4"/>
        <v>-2.0468792591999998</v>
      </c>
    </row>
    <row r="85" spans="1:8" x14ac:dyDescent="0.25">
      <c r="A85">
        <v>1432</v>
      </c>
      <c r="B85" s="2">
        <v>786.35</v>
      </c>
      <c r="C85">
        <v>0.2</v>
      </c>
      <c r="D85">
        <v>14</v>
      </c>
      <c r="E85" s="3">
        <f t="shared" si="3"/>
        <v>2.8000000000000003</v>
      </c>
      <c r="F85" s="1">
        <v>-0.18597272000000001</v>
      </c>
      <c r="G85" s="3">
        <v>66.418828571428563</v>
      </c>
      <c r="H85">
        <f t="shared" si="4"/>
        <v>-1.8243923832000002</v>
      </c>
    </row>
    <row r="86" spans="1:8" x14ac:dyDescent="0.25">
      <c r="A86">
        <v>1436</v>
      </c>
      <c r="B86" s="2">
        <v>734.96</v>
      </c>
      <c r="C86">
        <v>0.2</v>
      </c>
      <c r="D86">
        <v>14</v>
      </c>
      <c r="E86" s="3">
        <f t="shared" si="3"/>
        <v>2.8000000000000003</v>
      </c>
      <c r="F86" s="1">
        <v>-0.16329311999999999</v>
      </c>
      <c r="G86" s="3">
        <v>58.318971428571416</v>
      </c>
      <c r="H86">
        <f t="shared" si="4"/>
        <v>-1.6019055071999999</v>
      </c>
    </row>
    <row r="87" spans="1:8" x14ac:dyDescent="0.25">
      <c r="A87">
        <v>1440</v>
      </c>
      <c r="B87" s="2">
        <v>682.97</v>
      </c>
      <c r="C87">
        <v>0.11</v>
      </c>
      <c r="D87">
        <v>14</v>
      </c>
      <c r="E87" s="3">
        <f t="shared" si="3"/>
        <v>1.54</v>
      </c>
      <c r="F87" s="1">
        <v>-0.14514943999999996</v>
      </c>
      <c r="G87" s="3">
        <v>94.252883116883098</v>
      </c>
      <c r="H87">
        <f t="shared" si="4"/>
        <v>-1.4239160063999996</v>
      </c>
    </row>
    <row r="88" spans="1:8" x14ac:dyDescent="0.25">
      <c r="A88">
        <v>1444</v>
      </c>
      <c r="B88" s="2">
        <v>627.5</v>
      </c>
      <c r="C88">
        <v>0.1</v>
      </c>
      <c r="D88">
        <v>14</v>
      </c>
      <c r="E88" s="3">
        <f t="shared" si="3"/>
        <v>1.4000000000000001</v>
      </c>
      <c r="F88" s="1">
        <v>-0.12246984000000001</v>
      </c>
      <c r="G88" s="3">
        <v>87.478457142857138</v>
      </c>
      <c r="H88">
        <f t="shared" si="4"/>
        <v>-1.2014291304000002</v>
      </c>
    </row>
    <row r="89" spans="1:8" x14ac:dyDescent="0.25">
      <c r="A89">
        <v>1448</v>
      </c>
      <c r="B89" s="2">
        <v>574.57000000000005</v>
      </c>
      <c r="C89">
        <v>0.1</v>
      </c>
      <c r="D89">
        <v>14</v>
      </c>
      <c r="E89" s="3">
        <f t="shared" si="3"/>
        <v>1.4000000000000001</v>
      </c>
      <c r="F89" s="1">
        <v>-9.9790240000000002E-2</v>
      </c>
      <c r="G89" s="3">
        <v>71.278742857142845</v>
      </c>
      <c r="H89">
        <f t="shared" si="4"/>
        <v>-0.97894225440000004</v>
      </c>
    </row>
    <row r="90" spans="1:8" x14ac:dyDescent="0.25">
      <c r="A90">
        <v>1452</v>
      </c>
      <c r="B90" s="2">
        <v>517.91</v>
      </c>
      <c r="C90">
        <v>0.05</v>
      </c>
      <c r="D90">
        <v>14</v>
      </c>
      <c r="E90" s="3">
        <f t="shared" si="3"/>
        <v>0.70000000000000007</v>
      </c>
      <c r="F90" s="1">
        <v>-8.1646559999999993E-2</v>
      </c>
      <c r="G90" s="3">
        <v>116.63794285714283</v>
      </c>
      <c r="H90">
        <f t="shared" si="4"/>
        <v>-0.80095275359999996</v>
      </c>
    </row>
    <row r="91" spans="1:8" x14ac:dyDescent="0.25">
      <c r="A91">
        <v>1456</v>
      </c>
      <c r="B91" s="2">
        <v>462.63</v>
      </c>
      <c r="C91">
        <v>0.05</v>
      </c>
      <c r="D91">
        <v>14</v>
      </c>
      <c r="E91" s="3">
        <f t="shared" si="3"/>
        <v>0.70000000000000007</v>
      </c>
      <c r="F91" s="1">
        <v>-6.8038799999999997E-2</v>
      </c>
      <c r="G91" s="3">
        <v>97.198285714285703</v>
      </c>
      <c r="H91">
        <f t="shared" si="4"/>
        <v>-0.66746062799999994</v>
      </c>
    </row>
    <row r="92" spans="1:8" x14ac:dyDescent="0.25">
      <c r="A92">
        <v>1460</v>
      </c>
      <c r="B92" s="2">
        <v>400.48</v>
      </c>
      <c r="C92">
        <v>0.05</v>
      </c>
      <c r="D92">
        <v>14</v>
      </c>
      <c r="E92" s="3">
        <f t="shared" si="3"/>
        <v>0.70000000000000007</v>
      </c>
      <c r="F92" s="1">
        <v>-4.5359200000000002E-2</v>
      </c>
      <c r="G92" s="3">
        <v>64.798857142857145</v>
      </c>
      <c r="H92">
        <f t="shared" si="4"/>
        <v>-0.44497375200000006</v>
      </c>
    </row>
    <row r="93" spans="1:8" x14ac:dyDescent="0.25">
      <c r="A93">
        <v>1464</v>
      </c>
      <c r="B93" s="2">
        <v>341.53</v>
      </c>
      <c r="C93">
        <v>0.05</v>
      </c>
      <c r="D93">
        <v>14</v>
      </c>
      <c r="E93" s="3">
        <f t="shared" si="3"/>
        <v>0.70000000000000007</v>
      </c>
      <c r="F93" s="1">
        <v>-3.1751440000000006E-2</v>
      </c>
      <c r="G93" s="3">
        <v>45.359200000000001</v>
      </c>
      <c r="H93">
        <f t="shared" si="4"/>
        <v>-0.3114816264000001</v>
      </c>
    </row>
    <row r="94" spans="1:8" x14ac:dyDescent="0.25">
      <c r="A94">
        <v>1468</v>
      </c>
      <c r="B94" s="2">
        <v>0</v>
      </c>
      <c r="C94">
        <v>0</v>
      </c>
      <c r="D94">
        <v>14</v>
      </c>
      <c r="E94" s="3">
        <f t="shared" si="3"/>
        <v>0</v>
      </c>
      <c r="F94" s="1">
        <v>0</v>
      </c>
      <c r="G94" s="3">
        <v>0</v>
      </c>
      <c r="H94">
        <f t="shared" si="4"/>
        <v>0</v>
      </c>
    </row>
    <row r="95" spans="1:8" x14ac:dyDescent="0.25">
      <c r="A95">
        <v>1472</v>
      </c>
      <c r="B95" s="2">
        <v>0</v>
      </c>
      <c r="C95">
        <v>0</v>
      </c>
      <c r="D95">
        <v>14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14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14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14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14</v>
      </c>
      <c r="E99" s="3">
        <f t="shared" ref="E99:E102" si="5">C99*D99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14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14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14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14</v>
      </c>
      <c r="E103" s="3">
        <f t="shared" ref="E103:E166" si="6">C103*D103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14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14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14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14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14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14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0</v>
      </c>
      <c r="C110">
        <v>0</v>
      </c>
      <c r="D110">
        <v>14</v>
      </c>
      <c r="E110" s="3">
        <f t="shared" si="6"/>
        <v>0</v>
      </c>
      <c r="F110" s="1">
        <v>0</v>
      </c>
      <c r="G110" s="3">
        <v>0</v>
      </c>
      <c r="H110">
        <f t="shared" si="4"/>
        <v>0</v>
      </c>
    </row>
    <row r="111" spans="1:8" x14ac:dyDescent="0.25">
      <c r="A111">
        <v>1536</v>
      </c>
      <c r="B111" s="2">
        <v>344.26</v>
      </c>
      <c r="C111">
        <v>0.05</v>
      </c>
      <c r="D111">
        <v>14</v>
      </c>
      <c r="E111" s="3">
        <f t="shared" si="6"/>
        <v>0.70000000000000007</v>
      </c>
      <c r="F111" s="1">
        <v>4.5359199999999995E-2</v>
      </c>
      <c r="G111" s="3">
        <v>64.79885714285713</v>
      </c>
      <c r="H111">
        <f t="shared" si="4"/>
        <v>0.444973752</v>
      </c>
    </row>
    <row r="112" spans="1:8" x14ac:dyDescent="0.25">
      <c r="A112">
        <v>1540</v>
      </c>
      <c r="B112" s="2">
        <v>399.1</v>
      </c>
      <c r="C112">
        <v>0.05</v>
      </c>
      <c r="D112">
        <v>14</v>
      </c>
      <c r="E112" s="3">
        <f t="shared" si="6"/>
        <v>0.70000000000000007</v>
      </c>
      <c r="F112" s="1">
        <v>6.3502880000000012E-2</v>
      </c>
      <c r="G112" s="3">
        <v>90.718400000000003</v>
      </c>
      <c r="H112">
        <f t="shared" si="4"/>
        <v>0.6229632528000002</v>
      </c>
    </row>
    <row r="113" spans="1:8" x14ac:dyDescent="0.25">
      <c r="A113">
        <v>1544</v>
      </c>
      <c r="B113" s="2">
        <v>460.93</v>
      </c>
      <c r="C113">
        <v>0.05</v>
      </c>
      <c r="D113">
        <v>14</v>
      </c>
      <c r="E113" s="3">
        <f t="shared" si="6"/>
        <v>0.70000000000000007</v>
      </c>
      <c r="F113" s="1">
        <v>8.1646560000000007E-2</v>
      </c>
      <c r="G113" s="3">
        <v>116.63794285714286</v>
      </c>
      <c r="H113">
        <f t="shared" si="4"/>
        <v>0.80095275360000007</v>
      </c>
    </row>
    <row r="114" spans="1:8" x14ac:dyDescent="0.25">
      <c r="A114">
        <v>1548</v>
      </c>
      <c r="B114" s="2">
        <v>515.41999999999996</v>
      </c>
      <c r="C114">
        <v>0.01</v>
      </c>
      <c r="D114">
        <v>14</v>
      </c>
      <c r="E114" s="3">
        <v>1.4</v>
      </c>
      <c r="F114" s="1">
        <v>9.9790240000000002E-2</v>
      </c>
      <c r="G114" s="3">
        <v>71.428600000000003</v>
      </c>
      <c r="H114">
        <f t="shared" si="4"/>
        <v>0.97894225440000004</v>
      </c>
    </row>
    <row r="115" spans="1:8" x14ac:dyDescent="0.25">
      <c r="A115">
        <v>1552</v>
      </c>
      <c r="B115" s="2">
        <v>572.66999999999996</v>
      </c>
      <c r="C115">
        <v>0.1</v>
      </c>
      <c r="D115">
        <v>14</v>
      </c>
      <c r="E115" s="3">
        <f t="shared" si="6"/>
        <v>1.4000000000000001</v>
      </c>
      <c r="F115" s="1">
        <v>0.12246983999999998</v>
      </c>
      <c r="G115" s="3">
        <v>87.478457142857124</v>
      </c>
      <c r="H115">
        <f t="shared" si="4"/>
        <v>1.2014291304</v>
      </c>
    </row>
    <row r="116" spans="1:8" x14ac:dyDescent="0.25">
      <c r="A116">
        <v>1556</v>
      </c>
      <c r="B116" s="2">
        <v>626.45000000000005</v>
      </c>
      <c r="C116">
        <v>0.1</v>
      </c>
      <c r="D116">
        <v>14</v>
      </c>
      <c r="E116" s="3">
        <f t="shared" si="6"/>
        <v>1.4000000000000001</v>
      </c>
      <c r="F116" s="1">
        <v>0.14514943999999999</v>
      </c>
      <c r="G116" s="3">
        <v>103.67817142857142</v>
      </c>
      <c r="H116">
        <f t="shared" si="4"/>
        <v>1.4239160064</v>
      </c>
    </row>
    <row r="117" spans="1:8" x14ac:dyDescent="0.25">
      <c r="A117">
        <v>1560</v>
      </c>
      <c r="B117" s="2">
        <v>674.97</v>
      </c>
      <c r="C117">
        <v>0.13</v>
      </c>
      <c r="D117">
        <v>14</v>
      </c>
      <c r="E117" s="3">
        <f t="shared" si="6"/>
        <v>1.82</v>
      </c>
      <c r="F117" s="1">
        <v>0.17690087999999998</v>
      </c>
      <c r="G117" s="3">
        <v>97.198285714285703</v>
      </c>
      <c r="H117">
        <f t="shared" si="4"/>
        <v>1.7353976327999998</v>
      </c>
    </row>
    <row r="118" spans="1:8" x14ac:dyDescent="0.25">
      <c r="A118">
        <v>1564</v>
      </c>
      <c r="B118" s="2">
        <v>731.12</v>
      </c>
      <c r="C118">
        <v>0.2</v>
      </c>
      <c r="D118">
        <v>14</v>
      </c>
      <c r="E118" s="3">
        <f t="shared" si="6"/>
        <v>2.8000000000000003</v>
      </c>
      <c r="F118" s="1">
        <v>0.19958048</v>
      </c>
      <c r="G118" s="3">
        <v>71.278742857142845</v>
      </c>
      <c r="H118">
        <f t="shared" si="4"/>
        <v>1.9578845088000001</v>
      </c>
    </row>
    <row r="119" spans="1:8" x14ac:dyDescent="0.25">
      <c r="A119">
        <v>1568</v>
      </c>
      <c r="B119" s="2">
        <v>776.97</v>
      </c>
      <c r="C119">
        <v>0.2</v>
      </c>
      <c r="D119">
        <v>14</v>
      </c>
      <c r="E119" s="3">
        <f t="shared" si="6"/>
        <v>2.8000000000000003</v>
      </c>
      <c r="F119" s="1">
        <v>0.226796</v>
      </c>
      <c r="G119" s="3">
        <v>80.998571428571424</v>
      </c>
      <c r="H119">
        <f t="shared" si="4"/>
        <v>2.2248687600000001</v>
      </c>
    </row>
    <row r="120" spans="1:8" x14ac:dyDescent="0.25">
      <c r="A120">
        <v>1572</v>
      </c>
      <c r="B120" s="2">
        <v>824.32</v>
      </c>
      <c r="C120">
        <v>0.2</v>
      </c>
      <c r="D120">
        <v>14</v>
      </c>
      <c r="E120" s="3">
        <f t="shared" si="6"/>
        <v>2.8000000000000003</v>
      </c>
      <c r="F120" s="1">
        <v>0.26308335999999999</v>
      </c>
      <c r="G120" s="3">
        <v>93.958342857142839</v>
      </c>
      <c r="H120">
        <f t="shared" si="4"/>
        <v>2.5808477615999998</v>
      </c>
    </row>
    <row r="121" spans="1:8" x14ac:dyDescent="0.25">
      <c r="A121">
        <v>1576</v>
      </c>
      <c r="B121" s="2">
        <v>876.46</v>
      </c>
      <c r="C121">
        <v>0.3</v>
      </c>
      <c r="D121">
        <v>14</v>
      </c>
      <c r="E121" s="3">
        <f t="shared" si="6"/>
        <v>4.2</v>
      </c>
      <c r="F121" s="1">
        <v>0.29029887999999998</v>
      </c>
      <c r="G121" s="3">
        <v>69.118780952380945</v>
      </c>
      <c r="H121">
        <f t="shared" si="4"/>
        <v>2.8478320128000001</v>
      </c>
    </row>
    <row r="122" spans="1:8" x14ac:dyDescent="0.25">
      <c r="A122">
        <v>1580</v>
      </c>
      <c r="B122" s="2">
        <v>917.24</v>
      </c>
      <c r="C122">
        <v>0.4</v>
      </c>
      <c r="D122">
        <v>14</v>
      </c>
      <c r="E122" s="3">
        <f t="shared" si="6"/>
        <v>5.6000000000000005</v>
      </c>
      <c r="F122" s="1">
        <v>0.32658623999999997</v>
      </c>
      <c r="G122" s="3">
        <v>58.318971428571416</v>
      </c>
      <c r="H122">
        <f t="shared" si="4"/>
        <v>3.2038110143999998</v>
      </c>
    </row>
    <row r="123" spans="1:8" x14ac:dyDescent="0.25">
      <c r="A123">
        <v>1584</v>
      </c>
      <c r="B123" s="2">
        <v>967.46</v>
      </c>
      <c r="C123">
        <v>0.4</v>
      </c>
      <c r="D123">
        <v>14</v>
      </c>
      <c r="E123" s="3">
        <f t="shared" si="6"/>
        <v>5.6000000000000005</v>
      </c>
      <c r="F123" s="1">
        <v>0.36287359999999996</v>
      </c>
      <c r="G123" s="3">
        <v>64.79885714285713</v>
      </c>
      <c r="H123">
        <f t="shared" si="4"/>
        <v>3.559790016</v>
      </c>
    </row>
    <row r="124" spans="1:8" x14ac:dyDescent="0.25">
      <c r="A124">
        <v>1588</v>
      </c>
      <c r="B124" s="2">
        <v>1007.37</v>
      </c>
      <c r="C124">
        <v>0.44</v>
      </c>
      <c r="D124">
        <v>14</v>
      </c>
      <c r="E124" s="3">
        <f t="shared" si="6"/>
        <v>6.16</v>
      </c>
      <c r="F124" s="1">
        <v>0.39462503999999998</v>
      </c>
      <c r="G124" s="3">
        <v>64.06250649350649</v>
      </c>
      <c r="H124">
        <f t="shared" si="4"/>
        <v>3.8712716424</v>
      </c>
    </row>
    <row r="125" spans="1:8" x14ac:dyDescent="0.25">
      <c r="A125">
        <v>1592</v>
      </c>
      <c r="B125" s="2">
        <v>1047.8800000000001</v>
      </c>
      <c r="C125">
        <v>0.5</v>
      </c>
      <c r="D125">
        <v>14</v>
      </c>
      <c r="E125" s="3">
        <f t="shared" si="6"/>
        <v>7</v>
      </c>
      <c r="F125" s="1">
        <v>0.42637647999999995</v>
      </c>
      <c r="G125" s="3">
        <v>60.91092571428571</v>
      </c>
      <c r="H125">
        <f t="shared" si="4"/>
        <v>4.1827532688</v>
      </c>
    </row>
    <row r="126" spans="1:8" x14ac:dyDescent="0.25">
      <c r="A126">
        <v>1596</v>
      </c>
      <c r="B126" s="2">
        <v>1091.51</v>
      </c>
      <c r="C126">
        <v>0.6</v>
      </c>
      <c r="D126">
        <v>14</v>
      </c>
      <c r="E126" s="3">
        <f t="shared" si="6"/>
        <v>8.4</v>
      </c>
      <c r="F126" s="1">
        <v>0.46266383999999999</v>
      </c>
      <c r="G126" s="3">
        <v>55.079028571428566</v>
      </c>
      <c r="H126">
        <f t="shared" si="4"/>
        <v>4.5387322704000006</v>
      </c>
    </row>
    <row r="127" spans="1:8" x14ac:dyDescent="0.25">
      <c r="A127">
        <v>1600</v>
      </c>
      <c r="B127" s="2">
        <v>1135.83</v>
      </c>
      <c r="C127">
        <v>0.7</v>
      </c>
      <c r="D127">
        <v>14</v>
      </c>
      <c r="E127" s="3">
        <f t="shared" si="6"/>
        <v>9.7999999999999989</v>
      </c>
      <c r="F127" s="1">
        <v>0.49895120000000004</v>
      </c>
      <c r="G127" s="3">
        <v>50.91338775510205</v>
      </c>
      <c r="H127">
        <f t="shared" si="4"/>
        <v>4.8947112720000003</v>
      </c>
    </row>
    <row r="128" spans="1:8" x14ac:dyDescent="0.25">
      <c r="A128">
        <v>1604</v>
      </c>
      <c r="B128" s="2">
        <v>1169.21</v>
      </c>
      <c r="C128">
        <v>0.7</v>
      </c>
      <c r="D128">
        <v>14</v>
      </c>
      <c r="E128" s="3">
        <f t="shared" si="6"/>
        <v>9.7999999999999989</v>
      </c>
      <c r="F128" s="1">
        <v>0.53070264</v>
      </c>
      <c r="G128" s="3">
        <v>54.153330612244901</v>
      </c>
      <c r="H128">
        <f t="shared" si="4"/>
        <v>5.2061928984000003</v>
      </c>
    </row>
    <row r="129" spans="1:8" x14ac:dyDescent="0.25">
      <c r="A129">
        <v>1608</v>
      </c>
      <c r="B129" s="2">
        <v>1213.8</v>
      </c>
      <c r="C129">
        <v>0.8</v>
      </c>
      <c r="D129">
        <v>14</v>
      </c>
      <c r="E129" s="3">
        <f t="shared" si="6"/>
        <v>11.200000000000001</v>
      </c>
      <c r="F129" s="1">
        <v>0.57606184000000005</v>
      </c>
      <c r="G129" s="3">
        <v>51.434092857142851</v>
      </c>
      <c r="H129">
        <f t="shared" si="4"/>
        <v>5.6511666504000004</v>
      </c>
    </row>
    <row r="130" spans="1:8" x14ac:dyDescent="0.25">
      <c r="A130">
        <v>1612</v>
      </c>
      <c r="B130" s="2">
        <v>1251.8499999999999</v>
      </c>
      <c r="C130">
        <v>0.9</v>
      </c>
      <c r="D130">
        <v>14</v>
      </c>
      <c r="E130" s="3">
        <f t="shared" si="6"/>
        <v>12.6</v>
      </c>
      <c r="F130" s="1">
        <v>0.62142103999999998</v>
      </c>
      <c r="G130" s="3">
        <v>49.319130158730154</v>
      </c>
      <c r="H130">
        <f t="shared" si="4"/>
        <v>6.0961404024000005</v>
      </c>
    </row>
    <row r="131" spans="1:8" x14ac:dyDescent="0.25">
      <c r="A131">
        <v>1616</v>
      </c>
      <c r="B131" s="2">
        <v>1287.49</v>
      </c>
      <c r="C131">
        <v>1</v>
      </c>
      <c r="D131">
        <v>14</v>
      </c>
      <c r="E131" s="3">
        <f t="shared" si="6"/>
        <v>14</v>
      </c>
      <c r="F131" s="1">
        <v>0.64410064</v>
      </c>
      <c r="G131" s="3">
        <v>46.007188571428571</v>
      </c>
      <c r="H131">
        <f t="shared" ref="H131:H194" si="7">F131*9.81</f>
        <v>6.3186272784000002</v>
      </c>
    </row>
    <row r="132" spans="1:8" x14ac:dyDescent="0.25">
      <c r="A132">
        <v>1620</v>
      </c>
      <c r="B132" s="2">
        <v>1322.07</v>
      </c>
      <c r="C132">
        <v>1</v>
      </c>
      <c r="D132">
        <v>14</v>
      </c>
      <c r="E132" s="3">
        <f t="shared" si="6"/>
        <v>14</v>
      </c>
      <c r="F132" s="1">
        <v>0.68945984000000005</v>
      </c>
      <c r="G132" s="3">
        <v>49.247131428571429</v>
      </c>
      <c r="H132">
        <f t="shared" si="7"/>
        <v>6.7636010304000012</v>
      </c>
    </row>
    <row r="133" spans="1:8" x14ac:dyDescent="0.25">
      <c r="A133">
        <v>1624</v>
      </c>
      <c r="B133" s="2">
        <v>1354.18</v>
      </c>
      <c r="C133">
        <v>1.18</v>
      </c>
      <c r="D133">
        <v>14</v>
      </c>
      <c r="E133" s="3">
        <f t="shared" si="6"/>
        <v>16.52</v>
      </c>
      <c r="F133" s="1">
        <v>0.72574720000000004</v>
      </c>
      <c r="G133" s="3">
        <v>43.931428571428576</v>
      </c>
      <c r="H133">
        <f t="shared" si="7"/>
        <v>7.1195800320000009</v>
      </c>
    </row>
    <row r="134" spans="1:8" x14ac:dyDescent="0.25">
      <c r="A134">
        <v>1628</v>
      </c>
      <c r="B134" s="2">
        <v>1397.39</v>
      </c>
      <c r="C134">
        <v>1.3</v>
      </c>
      <c r="D134">
        <v>14</v>
      </c>
      <c r="E134" s="3">
        <f t="shared" si="6"/>
        <v>18.2</v>
      </c>
      <c r="F134" s="1">
        <v>0.76657047999999994</v>
      </c>
      <c r="G134" s="3">
        <v>42.119257142857144</v>
      </c>
      <c r="H134">
        <f t="shared" si="7"/>
        <v>7.5200564087999995</v>
      </c>
    </row>
    <row r="135" spans="1:8" x14ac:dyDescent="0.25">
      <c r="A135">
        <v>1632</v>
      </c>
      <c r="B135" s="2">
        <v>1432.37</v>
      </c>
      <c r="C135">
        <v>1.34</v>
      </c>
      <c r="D135">
        <v>14</v>
      </c>
      <c r="E135" s="3">
        <f t="shared" si="6"/>
        <v>18.760000000000002</v>
      </c>
      <c r="F135" s="1">
        <v>0.82553744000000007</v>
      </c>
      <c r="G135" s="3">
        <v>44.005194029850742</v>
      </c>
      <c r="H135">
        <f t="shared" si="7"/>
        <v>8.0985222864000015</v>
      </c>
    </row>
    <row r="136" spans="1:8" x14ac:dyDescent="0.25">
      <c r="A136">
        <v>1636</v>
      </c>
      <c r="B136" s="2">
        <v>1470.26</v>
      </c>
      <c r="C136">
        <v>1.5</v>
      </c>
      <c r="D136">
        <v>14</v>
      </c>
      <c r="E136" s="3">
        <f t="shared" si="6"/>
        <v>21</v>
      </c>
      <c r="F136" s="1">
        <v>0.84821703999999998</v>
      </c>
      <c r="G136" s="3">
        <v>40.391287619047617</v>
      </c>
      <c r="H136">
        <f t="shared" si="7"/>
        <v>8.3210091623999993</v>
      </c>
    </row>
    <row r="137" spans="1:8" x14ac:dyDescent="0.25">
      <c r="A137">
        <v>1640</v>
      </c>
      <c r="B137" s="2">
        <v>1499.47</v>
      </c>
      <c r="C137">
        <v>1.6</v>
      </c>
      <c r="D137">
        <v>14</v>
      </c>
      <c r="E137" s="3">
        <f t="shared" si="6"/>
        <v>22.400000000000002</v>
      </c>
      <c r="F137" s="1">
        <v>0.88904032</v>
      </c>
      <c r="G137" s="3">
        <v>39.689299999999996</v>
      </c>
      <c r="H137">
        <f t="shared" si="7"/>
        <v>8.7214855391999997</v>
      </c>
    </row>
    <row r="138" spans="1:8" x14ac:dyDescent="0.25">
      <c r="A138">
        <v>1644</v>
      </c>
      <c r="B138" s="2">
        <v>1532.19</v>
      </c>
      <c r="C138">
        <v>1.7</v>
      </c>
      <c r="D138">
        <v>14</v>
      </c>
      <c r="E138" s="3">
        <f t="shared" si="6"/>
        <v>23.8</v>
      </c>
      <c r="F138" s="1">
        <v>0.92079175999999985</v>
      </c>
      <c r="G138" s="3">
        <v>38.688729411764697</v>
      </c>
      <c r="H138">
        <f t="shared" si="7"/>
        <v>9.0329671655999988</v>
      </c>
    </row>
    <row r="139" spans="1:8" x14ac:dyDescent="0.25">
      <c r="A139">
        <v>1648</v>
      </c>
      <c r="B139" s="2">
        <v>1562.24</v>
      </c>
      <c r="C139">
        <v>1.8</v>
      </c>
      <c r="D139">
        <v>14</v>
      </c>
      <c r="E139" s="3">
        <f t="shared" si="6"/>
        <v>25.2</v>
      </c>
      <c r="F139" s="1">
        <v>0.96615095999999989</v>
      </c>
      <c r="G139" s="3">
        <v>38.339323809523812</v>
      </c>
      <c r="H139">
        <f t="shared" si="7"/>
        <v>9.4779409175999998</v>
      </c>
    </row>
    <row r="140" spans="1:8" x14ac:dyDescent="0.25">
      <c r="A140">
        <v>1652</v>
      </c>
      <c r="B140" s="2">
        <v>1596.83</v>
      </c>
      <c r="C140">
        <v>1.9</v>
      </c>
      <c r="D140">
        <v>14</v>
      </c>
      <c r="E140" s="3">
        <f t="shared" si="6"/>
        <v>26.599999999999998</v>
      </c>
      <c r="F140" s="1">
        <v>0.99790240000000008</v>
      </c>
      <c r="G140" s="3">
        <v>37.51512781954888</v>
      </c>
      <c r="H140">
        <f t="shared" si="7"/>
        <v>9.7894225440000007</v>
      </c>
    </row>
    <row r="141" spans="1:8" x14ac:dyDescent="0.25">
      <c r="A141">
        <v>1656</v>
      </c>
      <c r="B141" s="2">
        <v>1627.74</v>
      </c>
      <c r="C141">
        <v>2.1</v>
      </c>
      <c r="D141">
        <v>14</v>
      </c>
      <c r="E141" s="3">
        <f t="shared" si="6"/>
        <v>29.400000000000002</v>
      </c>
      <c r="F141" s="1">
        <v>1.05233344</v>
      </c>
      <c r="G141" s="3">
        <v>35.7936544217687</v>
      </c>
      <c r="H141">
        <f t="shared" si="7"/>
        <v>10.323391046399999</v>
      </c>
    </row>
    <row r="142" spans="1:8" x14ac:dyDescent="0.25">
      <c r="A142">
        <v>1660</v>
      </c>
      <c r="B142" s="2">
        <v>1668.6</v>
      </c>
      <c r="C142">
        <v>2.2000000000000002</v>
      </c>
      <c r="D142">
        <v>14</v>
      </c>
      <c r="E142" s="3">
        <f t="shared" si="6"/>
        <v>30.800000000000004</v>
      </c>
      <c r="F142" s="1">
        <v>1.0931567200000001</v>
      </c>
      <c r="G142" s="3">
        <v>35.492101298701293</v>
      </c>
      <c r="H142">
        <f t="shared" si="7"/>
        <v>10.723867423200002</v>
      </c>
    </row>
    <row r="143" spans="1:8" x14ac:dyDescent="0.25">
      <c r="A143">
        <v>1664</v>
      </c>
      <c r="B143" s="2">
        <v>1699.94</v>
      </c>
      <c r="C143">
        <v>2.2999999999999998</v>
      </c>
      <c r="D143">
        <v>14</v>
      </c>
      <c r="E143" s="3">
        <f t="shared" si="6"/>
        <v>32.199999999999996</v>
      </c>
      <c r="F143" s="1">
        <v>1.14305184</v>
      </c>
      <c r="G143" s="3">
        <v>35.498504347826085</v>
      </c>
      <c r="H143">
        <f t="shared" si="7"/>
        <v>11.213338550400001</v>
      </c>
    </row>
    <row r="144" spans="1:8" x14ac:dyDescent="0.25">
      <c r="A144">
        <v>1668</v>
      </c>
      <c r="B144" s="2">
        <v>1730.68</v>
      </c>
      <c r="C144">
        <v>2.56</v>
      </c>
      <c r="D144">
        <v>14</v>
      </c>
      <c r="E144" s="3">
        <f t="shared" si="6"/>
        <v>35.840000000000003</v>
      </c>
      <c r="F144" s="1">
        <v>1.2020188000000001</v>
      </c>
      <c r="G144" s="3">
        <v>33.538470982142847</v>
      </c>
      <c r="H144">
        <f t="shared" si="7"/>
        <v>11.791804428000001</v>
      </c>
    </row>
    <row r="145" spans="1:8" x14ac:dyDescent="0.25">
      <c r="A145">
        <v>1672</v>
      </c>
      <c r="B145" s="2">
        <v>1760.99</v>
      </c>
      <c r="C145">
        <v>2.8</v>
      </c>
      <c r="D145">
        <v>14</v>
      </c>
      <c r="E145" s="3">
        <f t="shared" si="6"/>
        <v>39.199999999999996</v>
      </c>
      <c r="F145" s="1">
        <v>1.2337702400000001</v>
      </c>
      <c r="G145" s="3">
        <v>31.473730612244903</v>
      </c>
      <c r="H145">
        <f t="shared" si="7"/>
        <v>12.103286054400002</v>
      </c>
    </row>
    <row r="146" spans="1:8" x14ac:dyDescent="0.25">
      <c r="A146">
        <v>1676</v>
      </c>
      <c r="B146" s="2">
        <v>1792.84</v>
      </c>
      <c r="C146">
        <v>2.9</v>
      </c>
      <c r="D146">
        <v>14</v>
      </c>
      <c r="E146" s="3">
        <f t="shared" si="6"/>
        <v>40.6</v>
      </c>
      <c r="F146" s="1">
        <v>1.27912944</v>
      </c>
      <c r="G146" s="3">
        <v>31.505651231527089</v>
      </c>
      <c r="H146">
        <f t="shared" si="7"/>
        <v>12.548259806400001</v>
      </c>
    </row>
    <row r="147" spans="1:8" x14ac:dyDescent="0.25">
      <c r="A147">
        <v>1680</v>
      </c>
      <c r="B147" s="2">
        <v>1816.8</v>
      </c>
      <c r="C147">
        <v>3.1</v>
      </c>
      <c r="D147">
        <v>14</v>
      </c>
      <c r="E147" s="3">
        <f t="shared" si="6"/>
        <v>43.4</v>
      </c>
      <c r="F147" s="1">
        <v>1.32448864</v>
      </c>
      <c r="G147" s="3">
        <v>30.518171428571431</v>
      </c>
      <c r="H147">
        <f t="shared" si="7"/>
        <v>12.9932335584</v>
      </c>
    </row>
    <row r="148" spans="1:8" x14ac:dyDescent="0.25">
      <c r="A148">
        <v>1684</v>
      </c>
      <c r="B148" s="2">
        <v>1849.06</v>
      </c>
      <c r="C148">
        <v>3.2</v>
      </c>
      <c r="D148">
        <v>14</v>
      </c>
      <c r="E148" s="3">
        <f t="shared" si="6"/>
        <v>44.800000000000004</v>
      </c>
      <c r="F148" s="1">
        <v>1.3653119199999999</v>
      </c>
      <c r="G148" s="3">
        <v>30.475712499999993</v>
      </c>
      <c r="H148">
        <f t="shared" si="7"/>
        <v>13.3937099352</v>
      </c>
    </row>
    <row r="149" spans="1:8" x14ac:dyDescent="0.25">
      <c r="A149">
        <v>1688</v>
      </c>
      <c r="B149" s="2">
        <v>1877.6</v>
      </c>
      <c r="C149">
        <v>3.4</v>
      </c>
      <c r="D149">
        <v>14</v>
      </c>
      <c r="E149" s="3">
        <f t="shared" si="6"/>
        <v>47.6</v>
      </c>
      <c r="F149" s="1">
        <v>1.4061352</v>
      </c>
      <c r="G149" s="3">
        <v>29.540655462184873</v>
      </c>
      <c r="H149">
        <f t="shared" si="7"/>
        <v>13.794186312000001</v>
      </c>
    </row>
    <row r="150" spans="1:8" x14ac:dyDescent="0.25">
      <c r="A150">
        <v>1692</v>
      </c>
      <c r="B150" s="2">
        <v>1912.4</v>
      </c>
      <c r="C150">
        <v>3.57</v>
      </c>
      <c r="D150">
        <v>14</v>
      </c>
      <c r="E150" s="3">
        <f t="shared" si="6"/>
        <v>49.98</v>
      </c>
      <c r="F150" s="1">
        <v>1.4605662400000001</v>
      </c>
      <c r="G150" s="3">
        <v>29.223014005602245</v>
      </c>
      <c r="H150">
        <f t="shared" si="7"/>
        <v>14.328154814400001</v>
      </c>
    </row>
    <row r="151" spans="1:8" x14ac:dyDescent="0.25">
      <c r="A151">
        <v>1696</v>
      </c>
      <c r="B151" s="2">
        <v>1934</v>
      </c>
      <c r="C151">
        <v>3.7</v>
      </c>
      <c r="D151">
        <v>14</v>
      </c>
      <c r="E151" s="3">
        <f t="shared" si="6"/>
        <v>51.800000000000004</v>
      </c>
      <c r="F151" s="1">
        <v>1.5104613600000001</v>
      </c>
      <c r="G151" s="3">
        <v>29.159485714285712</v>
      </c>
      <c r="H151">
        <f t="shared" si="7"/>
        <v>14.817625941600001</v>
      </c>
    </row>
    <row r="152" spans="1:8" x14ac:dyDescent="0.25">
      <c r="A152">
        <v>1700</v>
      </c>
      <c r="B152" s="2">
        <v>1967.31</v>
      </c>
      <c r="C152">
        <v>3.9</v>
      </c>
      <c r="D152">
        <v>14</v>
      </c>
      <c r="E152" s="3">
        <f t="shared" si="6"/>
        <v>54.6</v>
      </c>
      <c r="F152" s="1">
        <v>1.55128464</v>
      </c>
      <c r="G152" s="3">
        <v>28.411806593406592</v>
      </c>
      <c r="H152">
        <f t="shared" si="7"/>
        <v>15.218102318400001</v>
      </c>
    </row>
    <row r="153" spans="1:8" x14ac:dyDescent="0.25">
      <c r="A153">
        <v>1704</v>
      </c>
      <c r="B153" s="2">
        <v>1998.53</v>
      </c>
      <c r="C153">
        <v>4.0999999999999996</v>
      </c>
      <c r="D153">
        <v>14</v>
      </c>
      <c r="E153" s="3">
        <f t="shared" si="6"/>
        <v>57.399999999999991</v>
      </c>
      <c r="F153" s="1">
        <v>1.6057156800000001</v>
      </c>
      <c r="G153" s="3">
        <v>27.974140766550526</v>
      </c>
      <c r="H153">
        <f t="shared" si="7"/>
        <v>15.752070820800002</v>
      </c>
    </row>
    <row r="154" spans="1:8" x14ac:dyDescent="0.25">
      <c r="A154">
        <v>1708</v>
      </c>
      <c r="B154" s="2">
        <v>2031.99</v>
      </c>
      <c r="C154">
        <v>4.3099999999999996</v>
      </c>
      <c r="D154">
        <v>14</v>
      </c>
      <c r="E154" s="3">
        <f t="shared" si="6"/>
        <v>60.339999999999996</v>
      </c>
      <c r="F154" s="1">
        <v>1.6510748800000001</v>
      </c>
      <c r="G154" s="3">
        <v>27.362858468677494</v>
      </c>
      <c r="H154">
        <f t="shared" si="7"/>
        <v>16.197044572800003</v>
      </c>
    </row>
    <row r="155" spans="1:8" x14ac:dyDescent="0.25">
      <c r="A155">
        <v>1712</v>
      </c>
      <c r="B155" s="2">
        <v>2063.77</v>
      </c>
      <c r="C155">
        <v>4.51</v>
      </c>
      <c r="D155">
        <v>14</v>
      </c>
      <c r="E155" s="3">
        <f t="shared" si="6"/>
        <v>63.14</v>
      </c>
      <c r="F155" s="1">
        <v>1.7100418399999999</v>
      </c>
      <c r="G155" s="3">
        <v>27.08333607855559</v>
      </c>
      <c r="H155">
        <f t="shared" si="7"/>
        <v>16.775510450399999</v>
      </c>
    </row>
    <row r="156" spans="1:8" x14ac:dyDescent="0.25">
      <c r="A156">
        <v>1716</v>
      </c>
      <c r="B156" s="2">
        <v>2085.29</v>
      </c>
      <c r="C156">
        <v>4.79</v>
      </c>
      <c r="D156">
        <v>14</v>
      </c>
      <c r="E156" s="3">
        <f t="shared" si="6"/>
        <v>67.06</v>
      </c>
      <c r="F156" s="1">
        <v>1.7599369599999999</v>
      </c>
      <c r="G156" s="3">
        <v>26.244213540113332</v>
      </c>
      <c r="H156">
        <f t="shared" si="7"/>
        <v>17.2649815776</v>
      </c>
    </row>
    <row r="157" spans="1:8" x14ac:dyDescent="0.25">
      <c r="A157">
        <v>1720</v>
      </c>
      <c r="B157" s="2">
        <v>2114.06</v>
      </c>
      <c r="C157">
        <v>5</v>
      </c>
      <c r="D157">
        <v>14</v>
      </c>
      <c r="E157" s="3">
        <f t="shared" si="6"/>
        <v>70</v>
      </c>
      <c r="F157" s="1">
        <v>1.8143679999999998</v>
      </c>
      <c r="G157" s="3">
        <v>25.919542857142854</v>
      </c>
      <c r="H157">
        <f t="shared" si="7"/>
        <v>17.798950079999997</v>
      </c>
    </row>
    <row r="158" spans="1:8" x14ac:dyDescent="0.25">
      <c r="A158">
        <v>1724</v>
      </c>
      <c r="B158" s="2">
        <v>2144.85</v>
      </c>
      <c r="C158">
        <v>5.2</v>
      </c>
      <c r="D158">
        <v>14</v>
      </c>
      <c r="E158" s="3">
        <f t="shared" si="6"/>
        <v>72.8</v>
      </c>
      <c r="F158" s="1">
        <v>1.85065536</v>
      </c>
      <c r="G158" s="3">
        <v>25.421090109890109</v>
      </c>
      <c r="H158">
        <f t="shared" si="7"/>
        <v>18.154929081600002</v>
      </c>
    </row>
    <row r="159" spans="1:8" x14ac:dyDescent="0.25">
      <c r="A159">
        <v>1728</v>
      </c>
      <c r="B159" s="2">
        <v>2175.33</v>
      </c>
      <c r="C159">
        <v>5.4</v>
      </c>
      <c r="D159">
        <v>14</v>
      </c>
      <c r="E159" s="3">
        <f t="shared" si="6"/>
        <v>75.600000000000009</v>
      </c>
      <c r="F159" s="1">
        <v>1.9096223200000004</v>
      </c>
      <c r="G159" s="3">
        <v>25.2595544973545</v>
      </c>
      <c r="H159">
        <f t="shared" si="7"/>
        <v>18.733394959200005</v>
      </c>
    </row>
    <row r="160" spans="1:8" x14ac:dyDescent="0.25">
      <c r="A160">
        <v>1732</v>
      </c>
      <c r="B160" s="2">
        <v>2200.67</v>
      </c>
      <c r="C160">
        <v>5.6</v>
      </c>
      <c r="D160">
        <v>14</v>
      </c>
      <c r="E160" s="3">
        <f t="shared" si="6"/>
        <v>78.399999999999991</v>
      </c>
      <c r="F160" s="1">
        <v>1.9640533600000001</v>
      </c>
      <c r="G160" s="3">
        <v>25.051701020408164</v>
      </c>
      <c r="H160">
        <f t="shared" si="7"/>
        <v>19.267363461600002</v>
      </c>
    </row>
    <row r="161" spans="1:8" x14ac:dyDescent="0.25">
      <c r="A161">
        <v>1736</v>
      </c>
      <c r="B161" s="2">
        <v>2228.09</v>
      </c>
      <c r="C161">
        <v>5.8</v>
      </c>
      <c r="D161">
        <v>14</v>
      </c>
      <c r="E161" s="3">
        <f t="shared" si="6"/>
        <v>81.2</v>
      </c>
      <c r="F161" s="1">
        <v>2.0048766400000004</v>
      </c>
      <c r="G161" s="3">
        <v>24.690599014778329</v>
      </c>
      <c r="H161">
        <f t="shared" si="7"/>
        <v>19.667839838400006</v>
      </c>
    </row>
    <row r="162" spans="1:8" x14ac:dyDescent="0.25">
      <c r="A162">
        <v>1740</v>
      </c>
      <c r="B162" s="2">
        <v>2245.1799999999998</v>
      </c>
      <c r="C162">
        <v>6.1</v>
      </c>
      <c r="D162">
        <v>14</v>
      </c>
      <c r="E162" s="3">
        <f t="shared" si="6"/>
        <v>85.399999999999991</v>
      </c>
      <c r="F162" s="1">
        <v>2.0865232000000002</v>
      </c>
      <c r="G162" s="3">
        <v>24.432355971896961</v>
      </c>
      <c r="H162">
        <f t="shared" si="7"/>
        <v>20.468792592000003</v>
      </c>
    </row>
    <row r="163" spans="1:8" x14ac:dyDescent="0.25">
      <c r="A163">
        <v>1744</v>
      </c>
      <c r="B163" s="2">
        <v>2285.3200000000002</v>
      </c>
      <c r="C163">
        <v>6.3</v>
      </c>
      <c r="D163">
        <v>14</v>
      </c>
      <c r="E163" s="3">
        <f t="shared" si="6"/>
        <v>88.2</v>
      </c>
      <c r="F163" s="1">
        <v>2.1182746400000005</v>
      </c>
      <c r="G163" s="3">
        <v>24.016719274376417</v>
      </c>
      <c r="H163">
        <f t="shared" si="7"/>
        <v>20.780274218400006</v>
      </c>
    </row>
    <row r="164" spans="1:8" x14ac:dyDescent="0.25">
      <c r="A164">
        <v>1748</v>
      </c>
      <c r="B164" s="2">
        <v>2312</v>
      </c>
      <c r="C164">
        <v>6.57</v>
      </c>
      <c r="D164">
        <v>14</v>
      </c>
      <c r="E164" s="3">
        <f t="shared" si="6"/>
        <v>91.98</v>
      </c>
      <c r="F164" s="1">
        <v>2.1590979200000002</v>
      </c>
      <c r="G164" s="3">
        <v>23.473558599695586</v>
      </c>
      <c r="H164">
        <f t="shared" si="7"/>
        <v>21.180750595200003</v>
      </c>
    </row>
    <row r="165" spans="1:8" x14ac:dyDescent="0.25">
      <c r="A165">
        <v>1752</v>
      </c>
      <c r="B165" s="2">
        <v>2336.5300000000002</v>
      </c>
      <c r="C165">
        <v>6.8</v>
      </c>
      <c r="D165">
        <v>14</v>
      </c>
      <c r="E165" s="3">
        <f t="shared" si="6"/>
        <v>95.2</v>
      </c>
      <c r="F165" s="1">
        <v>2.2452804</v>
      </c>
      <c r="G165" s="3">
        <v>23.584878151260504</v>
      </c>
      <c r="H165">
        <f t="shared" si="7"/>
        <v>22.026200724000002</v>
      </c>
    </row>
    <row r="166" spans="1:8" x14ac:dyDescent="0.25">
      <c r="A166">
        <v>1756</v>
      </c>
      <c r="B166" s="2">
        <v>2375.04</v>
      </c>
      <c r="C166">
        <v>7.1</v>
      </c>
      <c r="D166">
        <v>14</v>
      </c>
      <c r="E166" s="3">
        <f t="shared" si="6"/>
        <v>99.399999999999991</v>
      </c>
      <c r="F166" s="1">
        <v>2.26796</v>
      </c>
      <c r="G166" s="3">
        <v>22.816498993963783</v>
      </c>
      <c r="H166">
        <f t="shared" si="7"/>
        <v>22.2486876</v>
      </c>
    </row>
    <row r="167" spans="1:8" x14ac:dyDescent="0.25">
      <c r="A167">
        <v>1760</v>
      </c>
      <c r="B167" s="2">
        <v>2411.31</v>
      </c>
      <c r="C167">
        <v>7.4</v>
      </c>
      <c r="D167">
        <v>14</v>
      </c>
      <c r="E167" s="3">
        <f t="shared" ref="E167:E201" si="8">C167*D167</f>
        <v>103.60000000000001</v>
      </c>
      <c r="F167" s="1">
        <v>2.34053472</v>
      </c>
      <c r="G167" s="3">
        <v>22.592033976833974</v>
      </c>
      <c r="H167">
        <f t="shared" si="7"/>
        <v>22.9606456032</v>
      </c>
    </row>
    <row r="168" spans="1:8" x14ac:dyDescent="0.25">
      <c r="A168">
        <v>1764</v>
      </c>
      <c r="B168" s="2">
        <v>2436.73</v>
      </c>
      <c r="C168">
        <v>7.74</v>
      </c>
      <c r="D168">
        <v>14</v>
      </c>
      <c r="E168" s="3">
        <f t="shared" si="8"/>
        <v>108.36</v>
      </c>
      <c r="F168" s="1">
        <v>2.4267172000000001</v>
      </c>
      <c r="G168" s="3">
        <v>22.394953857511997</v>
      </c>
      <c r="H168">
        <f t="shared" si="7"/>
        <v>23.806095732000003</v>
      </c>
    </row>
    <row r="169" spans="1:8" x14ac:dyDescent="0.25">
      <c r="A169">
        <v>1768</v>
      </c>
      <c r="B169" s="2">
        <v>2463.96</v>
      </c>
      <c r="C169">
        <v>8.09</v>
      </c>
      <c r="D169">
        <v>14</v>
      </c>
      <c r="E169" s="3">
        <f t="shared" si="8"/>
        <v>113.25999999999999</v>
      </c>
      <c r="F169" s="1">
        <v>2.50382784</v>
      </c>
      <c r="G169" s="3">
        <v>22.10690305491789</v>
      </c>
      <c r="H169">
        <f t="shared" si="7"/>
        <v>24.562551110400001</v>
      </c>
    </row>
    <row r="170" spans="1:8" x14ac:dyDescent="0.25">
      <c r="A170">
        <v>1772</v>
      </c>
      <c r="B170" s="2">
        <v>2498.16</v>
      </c>
      <c r="C170">
        <v>8.4</v>
      </c>
      <c r="D170">
        <v>14</v>
      </c>
      <c r="E170" s="3">
        <f t="shared" si="8"/>
        <v>117.60000000000001</v>
      </c>
      <c r="F170" s="1">
        <v>2.5627948000000003</v>
      </c>
      <c r="G170" s="3">
        <v>21.792472789115646</v>
      </c>
      <c r="H170">
        <f t="shared" si="7"/>
        <v>25.141016988000004</v>
      </c>
    </row>
    <row r="171" spans="1:8" x14ac:dyDescent="0.25">
      <c r="A171">
        <v>1776</v>
      </c>
      <c r="B171" s="2">
        <v>2539</v>
      </c>
      <c r="C171">
        <v>8.6999999999999993</v>
      </c>
      <c r="D171">
        <v>14</v>
      </c>
      <c r="E171" s="3">
        <f t="shared" si="8"/>
        <v>121.79999999999998</v>
      </c>
      <c r="F171" s="1">
        <v>2.6353695200000002</v>
      </c>
      <c r="G171" s="3">
        <v>21.636859770114945</v>
      </c>
      <c r="H171">
        <f t="shared" si="7"/>
        <v>25.852974991200004</v>
      </c>
    </row>
    <row r="172" spans="1:8" x14ac:dyDescent="0.25">
      <c r="A172">
        <v>1780</v>
      </c>
      <c r="B172" s="2">
        <v>2583.0300000000002</v>
      </c>
      <c r="C172">
        <v>8.9499999999999993</v>
      </c>
      <c r="D172">
        <v>14</v>
      </c>
      <c r="E172" s="3">
        <f t="shared" si="8"/>
        <v>125.29999999999998</v>
      </c>
      <c r="F172" s="1">
        <v>2.6580491200000003</v>
      </c>
      <c r="G172" s="3">
        <v>21.213480606544298</v>
      </c>
      <c r="H172">
        <f t="shared" si="7"/>
        <v>26.075461867200005</v>
      </c>
    </row>
    <row r="173" spans="1:8" x14ac:dyDescent="0.25">
      <c r="A173">
        <v>1784</v>
      </c>
      <c r="B173" s="2">
        <v>2591.7800000000002</v>
      </c>
      <c r="C173">
        <v>9.39</v>
      </c>
      <c r="D173">
        <v>14</v>
      </c>
      <c r="E173" s="3">
        <f t="shared" si="8"/>
        <v>131.46</v>
      </c>
      <c r="F173" s="1">
        <v>2.7578393600000002</v>
      </c>
      <c r="G173" s="3">
        <v>20.978543739540545</v>
      </c>
      <c r="H173">
        <f t="shared" si="7"/>
        <v>27.054404121600005</v>
      </c>
    </row>
    <row r="174" spans="1:8" x14ac:dyDescent="0.25">
      <c r="A174">
        <v>1788</v>
      </c>
      <c r="B174" s="2">
        <v>2616.94</v>
      </c>
      <c r="C174">
        <v>9.6</v>
      </c>
      <c r="D174">
        <v>14</v>
      </c>
      <c r="E174" s="3">
        <f t="shared" si="8"/>
        <v>134.4</v>
      </c>
      <c r="F174" s="1">
        <v>2.7805189600000002</v>
      </c>
      <c r="G174" s="3">
        <v>20.68838511904762</v>
      </c>
      <c r="H174">
        <f t="shared" si="7"/>
        <v>27.276890997600002</v>
      </c>
    </row>
    <row r="175" spans="1:8" x14ac:dyDescent="0.25">
      <c r="A175">
        <v>1792</v>
      </c>
      <c r="B175" s="2">
        <v>2651.66</v>
      </c>
      <c r="C175">
        <v>10</v>
      </c>
      <c r="D175">
        <v>14</v>
      </c>
      <c r="E175" s="3">
        <f t="shared" si="8"/>
        <v>140</v>
      </c>
      <c r="F175" s="1">
        <v>2.8803092000000001</v>
      </c>
      <c r="G175" s="3">
        <v>20.573637142857145</v>
      </c>
      <c r="H175">
        <f t="shared" si="7"/>
        <v>28.255833252000002</v>
      </c>
    </row>
    <row r="176" spans="1:8" x14ac:dyDescent="0.25">
      <c r="A176">
        <v>1796</v>
      </c>
      <c r="B176" s="2">
        <v>2659.19</v>
      </c>
      <c r="C176">
        <v>10.3</v>
      </c>
      <c r="D176">
        <v>14</v>
      </c>
      <c r="E176" s="3">
        <f t="shared" si="8"/>
        <v>144.20000000000002</v>
      </c>
      <c r="F176" s="1">
        <v>2.9347402400000004</v>
      </c>
      <c r="G176" s="3">
        <v>20.351874063800274</v>
      </c>
      <c r="H176">
        <f t="shared" si="7"/>
        <v>28.789801754400006</v>
      </c>
    </row>
    <row r="177" spans="1:8" x14ac:dyDescent="0.25">
      <c r="A177">
        <v>1800</v>
      </c>
      <c r="B177" s="2">
        <v>2693</v>
      </c>
      <c r="C177">
        <v>10.6</v>
      </c>
      <c r="D177">
        <v>14</v>
      </c>
      <c r="E177" s="3">
        <f t="shared" si="8"/>
        <v>148.4</v>
      </c>
      <c r="F177" s="1">
        <v>2.9937072000000002</v>
      </c>
      <c r="G177" s="3">
        <v>20.173229110512132</v>
      </c>
      <c r="H177">
        <f t="shared" si="7"/>
        <v>29.368267632000006</v>
      </c>
    </row>
    <row r="178" spans="1:8" x14ac:dyDescent="0.25">
      <c r="A178">
        <v>1804</v>
      </c>
      <c r="B178" s="2">
        <v>2713.91</v>
      </c>
      <c r="C178">
        <v>10.86</v>
      </c>
      <c r="D178">
        <v>14</v>
      </c>
      <c r="E178" s="3">
        <f t="shared" si="8"/>
        <v>152.04</v>
      </c>
      <c r="F178" s="1">
        <v>3.0481382400000001</v>
      </c>
      <c r="G178" s="3">
        <v>20.048265193370167</v>
      </c>
      <c r="H178">
        <f t="shared" si="7"/>
        <v>29.902236134400002</v>
      </c>
    </row>
    <row r="179" spans="1:8" x14ac:dyDescent="0.25">
      <c r="A179">
        <v>1808</v>
      </c>
      <c r="B179" s="2">
        <v>2750.55</v>
      </c>
      <c r="C179">
        <v>11.29</v>
      </c>
      <c r="D179">
        <v>14</v>
      </c>
      <c r="E179" s="3">
        <f t="shared" si="8"/>
        <v>158.06</v>
      </c>
      <c r="F179" s="1">
        <v>3.1297847999999999</v>
      </c>
      <c r="G179" s="3">
        <v>19.801245096798684</v>
      </c>
      <c r="H179">
        <f t="shared" si="7"/>
        <v>30.703188888</v>
      </c>
    </row>
    <row r="180" spans="1:8" x14ac:dyDescent="0.25">
      <c r="A180">
        <v>1812</v>
      </c>
      <c r="B180" s="2">
        <v>2773.38</v>
      </c>
      <c r="C180">
        <v>11.57</v>
      </c>
      <c r="D180">
        <v>14</v>
      </c>
      <c r="E180" s="3">
        <f t="shared" si="8"/>
        <v>161.98000000000002</v>
      </c>
      <c r="F180" s="1">
        <v>3.1887517600000002</v>
      </c>
      <c r="G180" s="3">
        <v>19.686083220150635</v>
      </c>
      <c r="H180">
        <f t="shared" si="7"/>
        <v>31.281654765600003</v>
      </c>
    </row>
    <row r="181" spans="1:8" x14ac:dyDescent="0.25">
      <c r="A181">
        <v>1816</v>
      </c>
      <c r="B181" s="2">
        <v>2794.74</v>
      </c>
      <c r="C181">
        <v>11.9</v>
      </c>
      <c r="D181">
        <v>14</v>
      </c>
      <c r="E181" s="3">
        <f t="shared" si="8"/>
        <v>166.6</v>
      </c>
      <c r="F181" s="1">
        <v>3.2341109600000002</v>
      </c>
      <c r="G181" s="3">
        <v>19.412430732292922</v>
      </c>
      <c r="H181">
        <f t="shared" si="7"/>
        <v>31.726628517600005</v>
      </c>
    </row>
    <row r="182" spans="1:8" x14ac:dyDescent="0.25">
      <c r="A182">
        <v>1820</v>
      </c>
      <c r="B182" s="2">
        <v>2814.74</v>
      </c>
      <c r="C182">
        <v>12.3</v>
      </c>
      <c r="D182">
        <v>14</v>
      </c>
      <c r="E182" s="3">
        <f t="shared" si="8"/>
        <v>172.20000000000002</v>
      </c>
      <c r="F182" s="1">
        <v>3.3248293599999998</v>
      </c>
      <c r="G182" s="3">
        <v>19.307952148664342</v>
      </c>
      <c r="H182">
        <f t="shared" si="7"/>
        <v>32.616576021599997</v>
      </c>
    </row>
    <row r="183" spans="1:8" x14ac:dyDescent="0.25">
      <c r="A183">
        <v>1824</v>
      </c>
      <c r="B183" s="2">
        <v>2854.51</v>
      </c>
      <c r="C183">
        <v>12.6</v>
      </c>
      <c r="D183">
        <v>14</v>
      </c>
      <c r="E183" s="3">
        <f t="shared" si="8"/>
        <v>176.4</v>
      </c>
      <c r="F183" s="1">
        <v>3.3611167200000001</v>
      </c>
      <c r="G183" s="3">
        <v>19.053949659863946</v>
      </c>
      <c r="H183">
        <f t="shared" si="7"/>
        <v>32.972555023200002</v>
      </c>
    </row>
    <row r="184" spans="1:8" x14ac:dyDescent="0.25">
      <c r="A184">
        <v>1828</v>
      </c>
      <c r="B184" s="2">
        <v>2878.23</v>
      </c>
      <c r="C184">
        <v>12.95</v>
      </c>
      <c r="D184">
        <v>14</v>
      </c>
      <c r="E184" s="3">
        <f t="shared" si="8"/>
        <v>181.29999999999998</v>
      </c>
      <c r="F184" s="1">
        <v>3.4200836799999998</v>
      </c>
      <c r="G184" s="3">
        <v>18.864223276337562</v>
      </c>
      <c r="H184">
        <f t="shared" si="7"/>
        <v>33.551020900799998</v>
      </c>
    </row>
    <row r="185" spans="1:8" x14ac:dyDescent="0.25">
      <c r="A185">
        <v>1832</v>
      </c>
      <c r="B185" s="2">
        <v>2900.71</v>
      </c>
      <c r="C185">
        <v>13.37</v>
      </c>
      <c r="D185">
        <v>14</v>
      </c>
      <c r="E185" s="3">
        <f t="shared" si="8"/>
        <v>187.17999999999998</v>
      </c>
      <c r="F185" s="1">
        <v>3.4926583999999998</v>
      </c>
      <c r="G185" s="3">
        <v>18.659356768885566</v>
      </c>
      <c r="H185">
        <f t="shared" si="7"/>
        <v>34.262978904000001</v>
      </c>
    </row>
    <row r="186" spans="1:8" x14ac:dyDescent="0.25">
      <c r="A186">
        <v>1836</v>
      </c>
      <c r="B186" s="2">
        <v>2926.01</v>
      </c>
      <c r="C186">
        <v>13.72</v>
      </c>
      <c r="D186">
        <v>14</v>
      </c>
      <c r="E186" s="3">
        <f t="shared" si="8"/>
        <v>192.08</v>
      </c>
      <c r="F186" s="1">
        <v>3.5652331200000003</v>
      </c>
      <c r="G186" s="3">
        <v>18.561188671386919</v>
      </c>
      <c r="H186">
        <f t="shared" si="7"/>
        <v>34.974936907200004</v>
      </c>
    </row>
    <row r="187" spans="1:8" x14ac:dyDescent="0.25">
      <c r="A187">
        <v>1840</v>
      </c>
      <c r="B187" s="2">
        <v>2957.31</v>
      </c>
      <c r="C187">
        <v>14.14</v>
      </c>
      <c r="D187">
        <v>14</v>
      </c>
      <c r="E187" s="3">
        <f t="shared" si="8"/>
        <v>197.96</v>
      </c>
      <c r="F187" s="1">
        <v>3.62420008</v>
      </c>
      <c r="G187" s="3">
        <v>18.307739341281067</v>
      </c>
      <c r="H187">
        <f t="shared" si="7"/>
        <v>35.553402784799999</v>
      </c>
    </row>
    <row r="188" spans="1:8" x14ac:dyDescent="0.25">
      <c r="A188">
        <v>1844</v>
      </c>
      <c r="B188" s="2">
        <v>2983.51</v>
      </c>
      <c r="C188">
        <v>14.5</v>
      </c>
      <c r="D188">
        <v>14</v>
      </c>
      <c r="E188" s="3">
        <f t="shared" si="8"/>
        <v>203</v>
      </c>
      <c r="F188" s="1">
        <v>3.6877029600000002</v>
      </c>
      <c r="G188" s="3">
        <v>18.166024433497537</v>
      </c>
      <c r="H188">
        <f t="shared" si="7"/>
        <v>36.176366037600005</v>
      </c>
    </row>
    <row r="189" spans="1:8" x14ac:dyDescent="0.25">
      <c r="A189">
        <v>1848</v>
      </c>
      <c r="B189" s="2">
        <v>3010.72</v>
      </c>
      <c r="C189">
        <v>14.96</v>
      </c>
      <c r="D189">
        <v>14</v>
      </c>
      <c r="E189" s="3">
        <f t="shared" si="8"/>
        <v>209.44</v>
      </c>
      <c r="F189" s="1">
        <v>3.76934952</v>
      </c>
      <c r="G189" s="3">
        <v>17.99727616501146</v>
      </c>
      <c r="H189">
        <f t="shared" si="7"/>
        <v>36.977318791200005</v>
      </c>
    </row>
    <row r="190" spans="1:8" x14ac:dyDescent="0.25">
      <c r="A190">
        <v>1852</v>
      </c>
      <c r="B190" s="2">
        <v>3034.9</v>
      </c>
      <c r="C190">
        <v>15.36</v>
      </c>
      <c r="D190">
        <v>14</v>
      </c>
      <c r="E190" s="3">
        <f t="shared" si="8"/>
        <v>215.04</v>
      </c>
      <c r="F190" s="1">
        <v>3.8373883200000005</v>
      </c>
      <c r="G190" s="3">
        <v>17.844997767857144</v>
      </c>
      <c r="H190">
        <f t="shared" si="7"/>
        <v>37.644779419200006</v>
      </c>
    </row>
    <row r="191" spans="1:8" x14ac:dyDescent="0.25">
      <c r="A191">
        <v>1856</v>
      </c>
      <c r="B191" s="2">
        <v>3047.8</v>
      </c>
      <c r="C191">
        <v>15.89</v>
      </c>
      <c r="D191">
        <v>14</v>
      </c>
      <c r="E191" s="3">
        <f t="shared" si="8"/>
        <v>222.46</v>
      </c>
      <c r="F191" s="1">
        <v>3.9235708000000002</v>
      </c>
      <c r="G191" s="3">
        <v>17.637196799424615</v>
      </c>
      <c r="H191">
        <f t="shared" si="7"/>
        <v>38.490229548000002</v>
      </c>
    </row>
    <row r="192" spans="1:8" x14ac:dyDescent="0.25">
      <c r="A192">
        <v>1860</v>
      </c>
      <c r="B192" s="2">
        <v>3087.31</v>
      </c>
      <c r="C192">
        <v>16.239999999999998</v>
      </c>
      <c r="D192">
        <v>14</v>
      </c>
      <c r="E192" s="3">
        <f t="shared" si="8"/>
        <v>227.35999999999999</v>
      </c>
      <c r="F192" s="1">
        <v>3.9825377600000005</v>
      </c>
      <c r="G192" s="3">
        <v>17.516439831104858</v>
      </c>
      <c r="H192">
        <f t="shared" si="7"/>
        <v>39.068695425600005</v>
      </c>
    </row>
    <row r="193" spans="1:8" x14ac:dyDescent="0.25">
      <c r="A193">
        <v>1864</v>
      </c>
      <c r="B193" s="2">
        <v>3113.79</v>
      </c>
      <c r="C193">
        <v>16.72</v>
      </c>
      <c r="D193">
        <v>14</v>
      </c>
      <c r="E193" s="3">
        <f t="shared" si="8"/>
        <v>234.07999999999998</v>
      </c>
      <c r="F193" s="1">
        <v>4.0278969600000005</v>
      </c>
      <c r="G193" s="3">
        <v>17.207352016404649</v>
      </c>
      <c r="H193">
        <f t="shared" si="7"/>
        <v>39.513669177600008</v>
      </c>
    </row>
    <row r="194" spans="1:8" x14ac:dyDescent="0.25">
      <c r="A194">
        <v>1868</v>
      </c>
      <c r="B194" s="2">
        <v>3138.83</v>
      </c>
      <c r="C194">
        <v>17.18</v>
      </c>
      <c r="D194">
        <v>14</v>
      </c>
      <c r="E194" s="3">
        <f t="shared" si="8"/>
        <v>240.51999999999998</v>
      </c>
      <c r="F194" s="1">
        <v>4.1095435199999999</v>
      </c>
      <c r="G194" s="3">
        <v>17.086078163978051</v>
      </c>
      <c r="H194">
        <f t="shared" si="7"/>
        <v>40.314621931200001</v>
      </c>
    </row>
    <row r="195" spans="1:8" x14ac:dyDescent="0.25">
      <c r="A195">
        <v>1872</v>
      </c>
      <c r="B195" s="2">
        <v>3159.12</v>
      </c>
      <c r="C195">
        <v>17.649999999999999</v>
      </c>
      <c r="D195">
        <v>14</v>
      </c>
      <c r="E195" s="3">
        <f t="shared" si="8"/>
        <v>247.09999999999997</v>
      </c>
      <c r="F195" s="1">
        <v>4.1549027199999999</v>
      </c>
      <c r="G195" s="3">
        <v>16.814660946985029</v>
      </c>
      <c r="H195">
        <f t="shared" ref="H195:H202" si="9">F195*9.81</f>
        <v>40.759595683200004</v>
      </c>
    </row>
    <row r="196" spans="1:8" x14ac:dyDescent="0.25">
      <c r="A196">
        <v>1876</v>
      </c>
      <c r="B196" s="2">
        <v>3182.97</v>
      </c>
      <c r="C196">
        <v>18.079999999999998</v>
      </c>
      <c r="D196">
        <v>14</v>
      </c>
      <c r="E196" s="3">
        <f t="shared" si="8"/>
        <v>253.11999999999998</v>
      </c>
      <c r="F196" s="1">
        <v>4.2138696800000002</v>
      </c>
      <c r="G196" s="3">
        <v>16.647715233881168</v>
      </c>
      <c r="H196">
        <f t="shared" si="9"/>
        <v>41.338061560800007</v>
      </c>
    </row>
    <row r="197" spans="1:8" x14ac:dyDescent="0.25">
      <c r="A197">
        <v>1880</v>
      </c>
      <c r="B197" s="2">
        <v>3194.8</v>
      </c>
      <c r="C197">
        <v>18.63</v>
      </c>
      <c r="D197">
        <v>14</v>
      </c>
      <c r="E197" s="3">
        <f t="shared" si="8"/>
        <v>260.82</v>
      </c>
      <c r="F197" s="1">
        <v>4.3045880800000003</v>
      </c>
      <c r="G197" s="3">
        <v>16.504056744114713</v>
      </c>
      <c r="H197">
        <f t="shared" si="9"/>
        <v>42.228009064800005</v>
      </c>
    </row>
    <row r="198" spans="1:8" x14ac:dyDescent="0.25">
      <c r="A198">
        <v>1884</v>
      </c>
      <c r="B198" s="2">
        <v>3217.79</v>
      </c>
      <c r="C198">
        <v>19.079999999999998</v>
      </c>
      <c r="D198">
        <v>14</v>
      </c>
      <c r="E198" s="3">
        <f t="shared" si="8"/>
        <v>267.12</v>
      </c>
      <c r="F198" s="1">
        <v>4.3816987200000002</v>
      </c>
      <c r="G198" s="3">
        <v>16.403484276729561</v>
      </c>
      <c r="H198">
        <f t="shared" si="9"/>
        <v>42.984464443200004</v>
      </c>
    </row>
    <row r="199" spans="1:8" x14ac:dyDescent="0.25">
      <c r="A199">
        <v>1888</v>
      </c>
      <c r="B199" s="2">
        <v>3242.86</v>
      </c>
      <c r="C199">
        <v>19.559999999999999</v>
      </c>
      <c r="D199">
        <v>14</v>
      </c>
      <c r="E199" s="3">
        <f t="shared" si="8"/>
        <v>273.83999999999997</v>
      </c>
      <c r="F199" s="1">
        <v>4.4225219999999998</v>
      </c>
      <c r="G199" s="3">
        <v>16.150021910604735</v>
      </c>
      <c r="H199">
        <f t="shared" si="9"/>
        <v>43.384940820000004</v>
      </c>
    </row>
    <row r="200" spans="1:8" x14ac:dyDescent="0.25">
      <c r="A200">
        <v>1892</v>
      </c>
      <c r="B200" s="2">
        <v>3263.28</v>
      </c>
      <c r="C200">
        <v>20.07</v>
      </c>
      <c r="D200">
        <v>14</v>
      </c>
      <c r="E200" s="3">
        <f t="shared" si="8"/>
        <v>280.98</v>
      </c>
      <c r="F200" s="1">
        <v>4.5087044800000005</v>
      </c>
      <c r="G200" s="3">
        <v>16.046353761833583</v>
      </c>
      <c r="H200">
        <f t="shared" si="9"/>
        <v>44.230390948800007</v>
      </c>
    </row>
    <row r="201" spans="1:8" x14ac:dyDescent="0.25">
      <c r="A201">
        <v>1896</v>
      </c>
      <c r="B201" s="2">
        <v>3288.07</v>
      </c>
      <c r="C201">
        <v>20.29</v>
      </c>
      <c r="D201">
        <v>14</v>
      </c>
      <c r="E201" s="3">
        <f t="shared" si="8"/>
        <v>284.06</v>
      </c>
      <c r="F201" s="1">
        <v>4.5268481600000001</v>
      </c>
      <c r="G201" s="3">
        <v>15.936239386045203</v>
      </c>
      <c r="H201">
        <f t="shared" si="9"/>
        <v>44.408380449600003</v>
      </c>
    </row>
    <row r="202" spans="1:8" x14ac:dyDescent="0.25">
      <c r="A202">
        <v>1900</v>
      </c>
      <c r="B202" s="2">
        <v>3279.3933333333334</v>
      </c>
      <c r="C202" s="1">
        <v>20.356666666666666</v>
      </c>
      <c r="D202">
        <v>14</v>
      </c>
      <c r="E202" s="3">
        <v>284.99333333333334</v>
      </c>
      <c r="F202" s="1">
        <v>4.5238242133333335</v>
      </c>
      <c r="G202" s="3">
        <v>15.873364944364548</v>
      </c>
      <c r="H202">
        <f t="shared" si="9"/>
        <v>44.378715532800001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7116-EAF2-4AFC-95F3-FE10AFEEF3A2}">
  <dimension ref="A1:H202"/>
  <sheetViews>
    <sheetView topLeftCell="A148" workbookViewId="0">
      <selection activeCell="H2" sqref="H2:H202"/>
    </sheetView>
  </sheetViews>
  <sheetFormatPr defaultRowHeight="15" x14ac:dyDescent="0.25"/>
  <cols>
    <col min="1" max="1" width="9.42578125" customWidth="1"/>
    <col min="2" max="2" width="9.140625" style="2"/>
    <col min="3" max="3" width="10.85546875" customWidth="1"/>
    <col min="4" max="4" width="11" customWidth="1"/>
    <col min="5" max="5" width="10.42578125" customWidth="1"/>
    <col min="6" max="6" width="11.140625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1100</v>
      </c>
      <c r="B2" s="2">
        <v>3464.7133333333336</v>
      </c>
      <c r="C2" s="1">
        <v>24.298333333333332</v>
      </c>
      <c r="D2">
        <v>16</v>
      </c>
      <c r="E2" s="3">
        <v>388.77333333333331</v>
      </c>
      <c r="F2" s="1">
        <v>-4.0694762266666666</v>
      </c>
      <c r="G2" s="3">
        <v>10.467465673152287</v>
      </c>
      <c r="H2">
        <f>F2*9.81</f>
        <v>-39.921561783600005</v>
      </c>
    </row>
    <row r="3" spans="1:8" x14ac:dyDescent="0.25">
      <c r="A3">
        <v>1104</v>
      </c>
      <c r="B3" s="2">
        <v>3468.01</v>
      </c>
      <c r="C3">
        <v>24.3</v>
      </c>
      <c r="D3">
        <v>16</v>
      </c>
      <c r="E3" s="3">
        <f t="shared" ref="E3:E34" si="0">D3*C3</f>
        <v>388.8</v>
      </c>
      <c r="F3" s="1">
        <v>-4.0505765599999997</v>
      </c>
      <c r="G3" s="3">
        <v>10.418149588477364</v>
      </c>
      <c r="H3">
        <f t="shared" ref="H3:H66" si="1">F3*9.81</f>
        <v>-39.736156053599998</v>
      </c>
    </row>
    <row r="4" spans="1:8" x14ac:dyDescent="0.25">
      <c r="A4">
        <v>1108</v>
      </c>
      <c r="B4" s="2">
        <v>3449.07</v>
      </c>
      <c r="C4">
        <v>23.78</v>
      </c>
      <c r="D4">
        <v>16</v>
      </c>
      <c r="E4" s="3">
        <f t="shared" si="0"/>
        <v>380.48</v>
      </c>
      <c r="F4" s="1">
        <v>-4.0233610399999993</v>
      </c>
      <c r="G4" s="3">
        <v>10.574435029436499</v>
      </c>
      <c r="H4">
        <f t="shared" si="1"/>
        <v>-39.469171802399998</v>
      </c>
    </row>
    <row r="5" spans="1:8" x14ac:dyDescent="0.25">
      <c r="A5">
        <v>1112</v>
      </c>
      <c r="B5" s="2">
        <v>3421.12</v>
      </c>
      <c r="C5">
        <v>23.25</v>
      </c>
      <c r="D5">
        <v>16</v>
      </c>
      <c r="E5" s="3">
        <f t="shared" si="0"/>
        <v>372</v>
      </c>
      <c r="F5" s="1">
        <v>-3.9643940799999999</v>
      </c>
      <c r="G5" s="3">
        <v>10.656973333333333</v>
      </c>
      <c r="H5">
        <f t="shared" si="1"/>
        <v>-38.890705924800002</v>
      </c>
    </row>
    <row r="6" spans="1:8" x14ac:dyDescent="0.25">
      <c r="A6">
        <v>1116</v>
      </c>
      <c r="B6" s="2">
        <v>3409.95</v>
      </c>
      <c r="C6">
        <v>22.64</v>
      </c>
      <c r="D6">
        <v>16</v>
      </c>
      <c r="E6" s="3">
        <f t="shared" si="0"/>
        <v>362.24</v>
      </c>
      <c r="F6" s="1">
        <v>-3.9008911999999998</v>
      </c>
      <c r="G6" s="3">
        <v>10.768803003533568</v>
      </c>
      <c r="H6">
        <f t="shared" si="1"/>
        <v>-38.267742671999997</v>
      </c>
    </row>
    <row r="7" spans="1:8" x14ac:dyDescent="0.25">
      <c r="A7">
        <v>1120</v>
      </c>
      <c r="B7" s="2">
        <v>3394.78</v>
      </c>
      <c r="C7">
        <v>22.07</v>
      </c>
      <c r="D7">
        <v>16</v>
      </c>
      <c r="E7" s="3">
        <f t="shared" si="0"/>
        <v>353.12</v>
      </c>
      <c r="F7" s="1">
        <v>-3.8691397599999995</v>
      </c>
      <c r="G7" s="3">
        <v>10.957011101042138</v>
      </c>
      <c r="H7">
        <f t="shared" si="1"/>
        <v>-37.956261045599994</v>
      </c>
    </row>
    <row r="8" spans="1:8" x14ac:dyDescent="0.25">
      <c r="A8">
        <v>1124</v>
      </c>
      <c r="B8" s="2">
        <v>3373.93</v>
      </c>
      <c r="C8">
        <v>21.46</v>
      </c>
      <c r="D8">
        <v>16</v>
      </c>
      <c r="E8" s="3">
        <f t="shared" si="0"/>
        <v>343.36</v>
      </c>
      <c r="F8" s="1">
        <v>-3.8237805599999999</v>
      </c>
      <c r="G8" s="3">
        <v>11.136359972041005</v>
      </c>
      <c r="H8">
        <f t="shared" si="1"/>
        <v>-37.511287293599999</v>
      </c>
    </row>
    <row r="9" spans="1:8" x14ac:dyDescent="0.25">
      <c r="A9">
        <v>1128</v>
      </c>
      <c r="B9" s="2">
        <v>3356.28</v>
      </c>
      <c r="C9">
        <v>20.98</v>
      </c>
      <c r="D9">
        <v>16</v>
      </c>
      <c r="E9" s="3">
        <f t="shared" si="0"/>
        <v>335.68</v>
      </c>
      <c r="F9" s="1">
        <v>-3.8011009600000003</v>
      </c>
      <c r="G9" s="3">
        <v>11.323584842707341</v>
      </c>
      <c r="H9">
        <f t="shared" si="1"/>
        <v>-37.288800417600008</v>
      </c>
    </row>
    <row r="10" spans="1:8" x14ac:dyDescent="0.25">
      <c r="A10">
        <v>1132</v>
      </c>
      <c r="B10" s="2">
        <v>3323.16</v>
      </c>
      <c r="C10">
        <v>20.440000000000001</v>
      </c>
      <c r="D10">
        <v>16</v>
      </c>
      <c r="E10" s="3">
        <f t="shared" si="0"/>
        <v>327.04000000000002</v>
      </c>
      <c r="F10" s="1">
        <v>-3.7512058399999999</v>
      </c>
      <c r="G10" s="3">
        <v>11.470174412915849</v>
      </c>
      <c r="H10">
        <f t="shared" si="1"/>
        <v>-36.799329290400003</v>
      </c>
    </row>
    <row r="11" spans="1:8" x14ac:dyDescent="0.25">
      <c r="A11">
        <v>1136</v>
      </c>
      <c r="B11" s="2">
        <v>3306.57</v>
      </c>
      <c r="C11">
        <v>19.899999999999999</v>
      </c>
      <c r="D11">
        <v>16</v>
      </c>
      <c r="E11" s="3">
        <f t="shared" si="0"/>
        <v>318.39999999999998</v>
      </c>
      <c r="F11" s="1">
        <v>-3.7149184799999997</v>
      </c>
      <c r="G11" s="3">
        <v>11.667457537688442</v>
      </c>
      <c r="H11">
        <f t="shared" si="1"/>
        <v>-36.443350288799998</v>
      </c>
    </row>
    <row r="12" spans="1:8" x14ac:dyDescent="0.25">
      <c r="A12">
        <v>1140</v>
      </c>
      <c r="B12" s="2">
        <v>3282.25</v>
      </c>
      <c r="C12">
        <v>19.32</v>
      </c>
      <c r="D12">
        <v>16</v>
      </c>
      <c r="E12" s="3">
        <f t="shared" si="0"/>
        <v>309.12</v>
      </c>
      <c r="F12" s="1">
        <v>-3.6559515200000003</v>
      </c>
      <c r="G12" s="3">
        <v>11.826965320910974</v>
      </c>
      <c r="H12">
        <f t="shared" si="1"/>
        <v>-35.864884411200002</v>
      </c>
    </row>
    <row r="13" spans="1:8" x14ac:dyDescent="0.25">
      <c r="A13">
        <v>1144</v>
      </c>
      <c r="B13" s="2">
        <v>3247.62</v>
      </c>
      <c r="C13">
        <v>18.739999999999998</v>
      </c>
      <c r="D13">
        <v>16</v>
      </c>
      <c r="E13" s="3">
        <f t="shared" si="0"/>
        <v>299.83999999999997</v>
      </c>
      <c r="F13" s="1">
        <v>-3.5879127199999998</v>
      </c>
      <c r="G13" s="3">
        <v>11.966090981856992</v>
      </c>
      <c r="H13">
        <f t="shared" si="1"/>
        <v>-35.197423783200001</v>
      </c>
    </row>
    <row r="14" spans="1:8" x14ac:dyDescent="0.25">
      <c r="A14">
        <v>1148</v>
      </c>
      <c r="B14" s="2">
        <v>3223.24</v>
      </c>
      <c r="C14">
        <v>18.11</v>
      </c>
      <c r="D14">
        <v>16</v>
      </c>
      <c r="E14" s="3">
        <f t="shared" si="0"/>
        <v>289.76</v>
      </c>
      <c r="F14" s="1">
        <v>-3.5198739199999998</v>
      </c>
      <c r="G14" s="3">
        <v>12.147549420209829</v>
      </c>
      <c r="H14">
        <f t="shared" si="1"/>
        <v>-34.529963155200001</v>
      </c>
    </row>
    <row r="15" spans="1:8" x14ac:dyDescent="0.25">
      <c r="A15">
        <v>1152</v>
      </c>
      <c r="B15" s="2">
        <v>3207.09</v>
      </c>
      <c r="C15">
        <v>17.53</v>
      </c>
      <c r="D15">
        <v>16</v>
      </c>
      <c r="E15" s="3">
        <f t="shared" si="0"/>
        <v>280.48</v>
      </c>
      <c r="F15" s="1">
        <v>-3.4518351200000001</v>
      </c>
      <c r="G15" s="3">
        <v>12.306885054192811</v>
      </c>
      <c r="H15">
        <f t="shared" si="1"/>
        <v>-33.8625025272</v>
      </c>
    </row>
    <row r="16" spans="1:8" x14ac:dyDescent="0.25">
      <c r="A16">
        <v>1156</v>
      </c>
      <c r="B16" s="2">
        <v>3176.96</v>
      </c>
      <c r="C16">
        <v>17</v>
      </c>
      <c r="D16">
        <v>16</v>
      </c>
      <c r="E16" s="3">
        <f t="shared" si="0"/>
        <v>272</v>
      </c>
      <c r="F16" s="1">
        <v>-3.3974040800000003</v>
      </c>
      <c r="G16" s="3">
        <v>12.490456176470587</v>
      </c>
      <c r="H16">
        <f t="shared" si="1"/>
        <v>-33.328534024800007</v>
      </c>
    </row>
    <row r="17" spans="1:8" x14ac:dyDescent="0.25">
      <c r="A17">
        <v>1160</v>
      </c>
      <c r="B17" s="2">
        <v>3152.96</v>
      </c>
      <c r="C17">
        <v>16.45</v>
      </c>
      <c r="D17">
        <v>16</v>
      </c>
      <c r="E17" s="3">
        <f t="shared" si="0"/>
        <v>263.2</v>
      </c>
      <c r="F17" s="1">
        <v>-3.3112216000000001</v>
      </c>
      <c r="G17" s="3">
        <v>12.580629179331307</v>
      </c>
      <c r="H17">
        <f t="shared" si="1"/>
        <v>-32.483083896000004</v>
      </c>
    </row>
    <row r="18" spans="1:8" x14ac:dyDescent="0.25">
      <c r="A18">
        <v>1164</v>
      </c>
      <c r="B18" s="2">
        <v>3111.45</v>
      </c>
      <c r="C18">
        <v>15.96</v>
      </c>
      <c r="D18">
        <v>16</v>
      </c>
      <c r="E18" s="3">
        <f t="shared" si="0"/>
        <v>255.36</v>
      </c>
      <c r="F18" s="1">
        <v>-3.2522546399999999</v>
      </c>
      <c r="G18" s="3">
        <v>12.735959586466164</v>
      </c>
      <c r="H18">
        <f t="shared" si="1"/>
        <v>-31.904618018400001</v>
      </c>
    </row>
    <row r="19" spans="1:8" x14ac:dyDescent="0.25">
      <c r="A19">
        <v>1168</v>
      </c>
      <c r="B19" s="2">
        <v>3086.3</v>
      </c>
      <c r="C19">
        <v>15.48</v>
      </c>
      <c r="D19">
        <v>16</v>
      </c>
      <c r="E19" s="3">
        <f t="shared" si="0"/>
        <v>247.68</v>
      </c>
      <c r="F19" s="1">
        <v>-3.2023595199999999</v>
      </c>
      <c r="G19" s="3">
        <v>12.929423126614985</v>
      </c>
      <c r="H19">
        <f t="shared" si="1"/>
        <v>-31.415146891199999</v>
      </c>
    </row>
    <row r="20" spans="1:8" x14ac:dyDescent="0.25">
      <c r="A20">
        <v>1172</v>
      </c>
      <c r="B20" s="2">
        <v>3061.4</v>
      </c>
      <c r="C20">
        <v>14.98</v>
      </c>
      <c r="D20">
        <v>16</v>
      </c>
      <c r="E20" s="3">
        <f t="shared" si="0"/>
        <v>239.68</v>
      </c>
      <c r="F20" s="1">
        <v>-3.1071051999999999</v>
      </c>
      <c r="G20" s="3">
        <v>12.963556408544724</v>
      </c>
      <c r="H20">
        <f t="shared" si="1"/>
        <v>-30.480702012000002</v>
      </c>
    </row>
    <row r="21" spans="1:8" x14ac:dyDescent="0.25">
      <c r="A21">
        <v>1176</v>
      </c>
      <c r="B21" s="2">
        <v>3049.78</v>
      </c>
      <c r="C21">
        <v>14.43</v>
      </c>
      <c r="D21">
        <v>16</v>
      </c>
      <c r="E21" s="3">
        <f t="shared" si="0"/>
        <v>230.88</v>
      </c>
      <c r="F21" s="1">
        <v>-3.0390663999999998</v>
      </c>
      <c r="G21" s="3">
        <v>13.162969507969509</v>
      </c>
      <c r="H21">
        <f t="shared" si="1"/>
        <v>-29.813241384000001</v>
      </c>
    </row>
    <row r="22" spans="1:8" x14ac:dyDescent="0.25">
      <c r="A22">
        <v>1180</v>
      </c>
      <c r="B22" s="2">
        <v>3003.32</v>
      </c>
      <c r="C22">
        <v>14.04</v>
      </c>
      <c r="D22">
        <v>16</v>
      </c>
      <c r="E22" s="3">
        <f t="shared" si="0"/>
        <v>224.64</v>
      </c>
      <c r="F22" s="1">
        <v>-2.9937071999999998</v>
      </c>
      <c r="G22" s="3">
        <v>13.326688034188034</v>
      </c>
      <c r="H22">
        <f t="shared" si="1"/>
        <v>-29.368267631999998</v>
      </c>
    </row>
    <row r="23" spans="1:8" x14ac:dyDescent="0.25">
      <c r="A23">
        <v>1184</v>
      </c>
      <c r="B23" s="2">
        <v>2987.73</v>
      </c>
      <c r="C23">
        <v>13.55</v>
      </c>
      <c r="D23">
        <v>16</v>
      </c>
      <c r="E23" s="3">
        <f t="shared" si="0"/>
        <v>216.8</v>
      </c>
      <c r="F23" s="1">
        <v>-2.9392761600000004</v>
      </c>
      <c r="G23" s="3">
        <v>13.557546863468634</v>
      </c>
      <c r="H23">
        <f t="shared" si="1"/>
        <v>-28.834299129600005</v>
      </c>
    </row>
    <row r="24" spans="1:8" x14ac:dyDescent="0.25">
      <c r="A24">
        <v>1188</v>
      </c>
      <c r="B24" s="2">
        <v>2952.33</v>
      </c>
      <c r="C24">
        <v>13.1</v>
      </c>
      <c r="D24">
        <v>16</v>
      </c>
      <c r="E24" s="3">
        <f t="shared" si="0"/>
        <v>209.6</v>
      </c>
      <c r="F24" s="1">
        <v>-2.8621655199999996</v>
      </c>
      <c r="G24" s="3">
        <v>13.655369847328242</v>
      </c>
      <c r="H24">
        <f t="shared" si="1"/>
        <v>-28.077843751199996</v>
      </c>
    </row>
    <row r="25" spans="1:8" x14ac:dyDescent="0.25">
      <c r="A25">
        <v>1192</v>
      </c>
      <c r="B25" s="2">
        <v>2918.2</v>
      </c>
      <c r="C25">
        <v>12.74</v>
      </c>
      <c r="D25">
        <v>16</v>
      </c>
      <c r="E25" s="3">
        <f t="shared" si="0"/>
        <v>203.84</v>
      </c>
      <c r="F25" s="1">
        <v>-2.8213422399999999</v>
      </c>
      <c r="G25" s="3">
        <v>13.840964678178963</v>
      </c>
      <c r="H25">
        <f t="shared" si="1"/>
        <v>-27.677367374399999</v>
      </c>
    </row>
    <row r="26" spans="1:8" x14ac:dyDescent="0.25">
      <c r="A26">
        <v>1196</v>
      </c>
      <c r="B26" s="2">
        <v>2895.86</v>
      </c>
      <c r="C26">
        <v>12.3</v>
      </c>
      <c r="D26">
        <v>16</v>
      </c>
      <c r="E26" s="3">
        <f t="shared" si="0"/>
        <v>196.8</v>
      </c>
      <c r="F26" s="1">
        <v>-2.7714471199999999</v>
      </c>
      <c r="G26" s="3">
        <v>14.082556504065041</v>
      </c>
      <c r="H26">
        <f t="shared" si="1"/>
        <v>-27.187896247200001</v>
      </c>
    </row>
    <row r="27" spans="1:8" x14ac:dyDescent="0.25">
      <c r="A27">
        <v>1200</v>
      </c>
      <c r="B27" s="2">
        <v>2864.72</v>
      </c>
      <c r="C27">
        <v>11.93</v>
      </c>
      <c r="D27">
        <v>16</v>
      </c>
      <c r="E27" s="3">
        <f t="shared" si="0"/>
        <v>190.88</v>
      </c>
      <c r="F27" s="1">
        <v>-2.7079442399999998</v>
      </c>
      <c r="G27" s="3">
        <v>14.186631601005868</v>
      </c>
      <c r="H27">
        <f t="shared" si="1"/>
        <v>-26.564932994399999</v>
      </c>
    </row>
    <row r="28" spans="1:8" x14ac:dyDescent="0.25">
      <c r="A28">
        <v>1204</v>
      </c>
      <c r="B28" s="2">
        <v>2845.12</v>
      </c>
      <c r="C28">
        <v>11.59</v>
      </c>
      <c r="D28">
        <v>16</v>
      </c>
      <c r="E28" s="3">
        <f t="shared" si="0"/>
        <v>185.44</v>
      </c>
      <c r="F28" s="1">
        <v>-2.6580491200000003</v>
      </c>
      <c r="G28" s="3">
        <v>14.333742018981882</v>
      </c>
      <c r="H28">
        <f t="shared" si="1"/>
        <v>-26.075461867200005</v>
      </c>
    </row>
    <row r="29" spans="1:8" x14ac:dyDescent="0.25">
      <c r="A29">
        <v>1208</v>
      </c>
      <c r="B29" s="2">
        <v>2821.23</v>
      </c>
      <c r="C29">
        <v>11.2</v>
      </c>
      <c r="D29">
        <v>16</v>
      </c>
      <c r="E29" s="3">
        <f t="shared" si="0"/>
        <v>179.2</v>
      </c>
      <c r="F29" s="1">
        <v>-2.5809384800000004</v>
      </c>
      <c r="G29" s="3">
        <v>14.40255848214286</v>
      </c>
      <c r="H29">
        <f t="shared" si="1"/>
        <v>-25.319006488800007</v>
      </c>
    </row>
    <row r="30" spans="1:8" x14ac:dyDescent="0.25">
      <c r="A30">
        <v>1212</v>
      </c>
      <c r="B30" s="2">
        <v>2792.39</v>
      </c>
      <c r="C30">
        <v>10.8</v>
      </c>
      <c r="D30">
        <v>16</v>
      </c>
      <c r="E30" s="3">
        <f t="shared" si="0"/>
        <v>172.8</v>
      </c>
      <c r="F30" s="1">
        <v>-2.5491870400000001</v>
      </c>
      <c r="G30" s="3">
        <v>14.752239814814812</v>
      </c>
      <c r="H30">
        <f t="shared" si="1"/>
        <v>-25.0075248624</v>
      </c>
    </row>
    <row r="31" spans="1:8" x14ac:dyDescent="0.25">
      <c r="A31">
        <v>1216</v>
      </c>
      <c r="B31" s="2">
        <v>2758.52</v>
      </c>
      <c r="C31">
        <v>10.5</v>
      </c>
      <c r="D31">
        <v>16</v>
      </c>
      <c r="E31" s="3">
        <f t="shared" si="0"/>
        <v>168</v>
      </c>
      <c r="F31" s="1">
        <v>-2.5083637599999999</v>
      </c>
      <c r="G31" s="3">
        <v>14.930736666666668</v>
      </c>
      <c r="H31">
        <f t="shared" si="1"/>
        <v>-24.6070484856</v>
      </c>
    </row>
    <row r="32" spans="1:8" x14ac:dyDescent="0.25">
      <c r="A32">
        <v>1220</v>
      </c>
      <c r="B32" s="2">
        <v>2736.37</v>
      </c>
      <c r="C32">
        <v>10.27</v>
      </c>
      <c r="D32">
        <v>16</v>
      </c>
      <c r="E32" s="3">
        <f t="shared" si="0"/>
        <v>164.32</v>
      </c>
      <c r="F32" s="1">
        <v>-2.4539327200000001</v>
      </c>
      <c r="G32" s="3">
        <v>14.933865141187926</v>
      </c>
      <c r="H32">
        <f t="shared" si="1"/>
        <v>-24.073079983200003</v>
      </c>
    </row>
    <row r="33" spans="1:8" x14ac:dyDescent="0.25">
      <c r="A33">
        <v>1224</v>
      </c>
      <c r="B33" s="2">
        <v>2712.08</v>
      </c>
      <c r="C33">
        <v>9.9</v>
      </c>
      <c r="D33">
        <v>16</v>
      </c>
      <c r="E33" s="3">
        <f t="shared" si="0"/>
        <v>158.4</v>
      </c>
      <c r="F33" s="1">
        <v>-2.3813580000000001</v>
      </c>
      <c r="G33" s="3">
        <v>15.033825757575755</v>
      </c>
      <c r="H33">
        <f t="shared" si="1"/>
        <v>-23.361121980000004</v>
      </c>
    </row>
    <row r="34" spans="1:8" x14ac:dyDescent="0.25">
      <c r="A34">
        <v>1228</v>
      </c>
      <c r="B34" s="2">
        <v>2681.26</v>
      </c>
      <c r="C34">
        <v>9.5</v>
      </c>
      <c r="D34">
        <v>16</v>
      </c>
      <c r="E34" s="3">
        <f t="shared" si="0"/>
        <v>152</v>
      </c>
      <c r="F34" s="1">
        <v>-2.3541424800000001</v>
      </c>
      <c r="G34" s="3">
        <v>15.48777947368421</v>
      </c>
      <c r="H34">
        <f t="shared" si="1"/>
        <v>-23.094137728800003</v>
      </c>
    </row>
    <row r="35" spans="1:8" x14ac:dyDescent="0.25">
      <c r="A35">
        <v>1232</v>
      </c>
      <c r="B35" s="2">
        <v>2660.64</v>
      </c>
      <c r="C35">
        <v>9.1999999999999993</v>
      </c>
      <c r="D35">
        <v>16</v>
      </c>
      <c r="E35" s="3">
        <f t="shared" ref="E35:E66" si="2">D35*C35</f>
        <v>147.19999999999999</v>
      </c>
      <c r="F35" s="1">
        <v>-2.2770318399999998</v>
      </c>
      <c r="G35" s="3">
        <v>15.468966304347825</v>
      </c>
      <c r="H35">
        <f t="shared" si="1"/>
        <v>-22.337682350399998</v>
      </c>
    </row>
    <row r="36" spans="1:8" x14ac:dyDescent="0.25">
      <c r="A36">
        <v>1236</v>
      </c>
      <c r="B36" s="2">
        <v>2629</v>
      </c>
      <c r="C36">
        <v>8.9</v>
      </c>
      <c r="D36">
        <v>16</v>
      </c>
      <c r="E36" s="3">
        <f t="shared" si="2"/>
        <v>142.4</v>
      </c>
      <c r="F36" s="1">
        <v>-2.2362085599999997</v>
      </c>
      <c r="G36" s="3">
        <v>15.703711797752806</v>
      </c>
      <c r="H36">
        <f t="shared" si="1"/>
        <v>-21.937205973599998</v>
      </c>
    </row>
    <row r="37" spans="1:8" x14ac:dyDescent="0.25">
      <c r="A37">
        <v>1240</v>
      </c>
      <c r="B37" s="2">
        <v>2598.64</v>
      </c>
      <c r="C37">
        <v>8.6</v>
      </c>
      <c r="D37">
        <v>16</v>
      </c>
      <c r="E37" s="3">
        <f t="shared" si="2"/>
        <v>137.6</v>
      </c>
      <c r="F37" s="1">
        <v>-2.19538528</v>
      </c>
      <c r="G37" s="3">
        <v>15.954834883720931</v>
      </c>
      <c r="H37">
        <f t="shared" si="1"/>
        <v>-21.536729596800001</v>
      </c>
    </row>
    <row r="38" spans="1:8" x14ac:dyDescent="0.25">
      <c r="A38">
        <v>1244</v>
      </c>
      <c r="B38" s="2">
        <v>2575.9299999999998</v>
      </c>
      <c r="C38">
        <v>8.1999999999999993</v>
      </c>
      <c r="D38">
        <v>16</v>
      </c>
      <c r="E38" s="3">
        <f t="shared" si="2"/>
        <v>131.19999999999999</v>
      </c>
      <c r="F38" s="1">
        <v>-2.1182746400000001</v>
      </c>
      <c r="G38" s="3">
        <v>16.145385975609759</v>
      </c>
      <c r="H38">
        <f t="shared" si="1"/>
        <v>-20.780274218400002</v>
      </c>
    </row>
    <row r="39" spans="1:8" x14ac:dyDescent="0.25">
      <c r="A39">
        <v>1248</v>
      </c>
      <c r="B39" s="2">
        <v>2547.87</v>
      </c>
      <c r="C39">
        <v>7.9</v>
      </c>
      <c r="D39">
        <v>16</v>
      </c>
      <c r="E39" s="3">
        <f t="shared" si="2"/>
        <v>126.4</v>
      </c>
      <c r="F39" s="1">
        <v>-2.0819872799999999</v>
      </c>
      <c r="G39" s="3">
        <v>16.471418354430376</v>
      </c>
      <c r="H39">
        <f t="shared" si="1"/>
        <v>-20.424295216800001</v>
      </c>
    </row>
    <row r="40" spans="1:8" x14ac:dyDescent="0.25">
      <c r="A40">
        <v>1252</v>
      </c>
      <c r="B40" s="2">
        <v>2517.3200000000002</v>
      </c>
      <c r="C40">
        <v>7.57</v>
      </c>
      <c r="D40">
        <v>16</v>
      </c>
      <c r="E40" s="3">
        <f t="shared" si="2"/>
        <v>121.12</v>
      </c>
      <c r="F40" s="1">
        <v>-2.0230203200000001</v>
      </c>
      <c r="G40" s="3">
        <v>16.702611624834873</v>
      </c>
      <c r="H40">
        <f t="shared" si="1"/>
        <v>-19.845829339200002</v>
      </c>
    </row>
    <row r="41" spans="1:8" x14ac:dyDescent="0.25">
      <c r="A41">
        <v>1256</v>
      </c>
      <c r="B41" s="2">
        <v>2482.17</v>
      </c>
      <c r="C41">
        <v>7.19</v>
      </c>
      <c r="D41">
        <v>16</v>
      </c>
      <c r="E41" s="3">
        <f t="shared" si="2"/>
        <v>115.04</v>
      </c>
      <c r="F41" s="1">
        <v>-1.9776611200000001</v>
      </c>
      <c r="G41" s="3">
        <v>17.191073713490958</v>
      </c>
      <c r="H41">
        <f t="shared" si="1"/>
        <v>-19.400855587200002</v>
      </c>
    </row>
    <row r="42" spans="1:8" x14ac:dyDescent="0.25">
      <c r="A42">
        <v>1260</v>
      </c>
      <c r="B42" s="2">
        <v>2440.17</v>
      </c>
      <c r="C42">
        <v>6.89</v>
      </c>
      <c r="D42">
        <v>16</v>
      </c>
      <c r="E42" s="3">
        <f t="shared" si="2"/>
        <v>110.24</v>
      </c>
      <c r="F42" s="1">
        <v>-1.9413737600000001</v>
      </c>
      <c r="G42" s="3">
        <v>17.610429608127721</v>
      </c>
      <c r="H42">
        <f t="shared" si="1"/>
        <v>-19.044876585600001</v>
      </c>
    </row>
    <row r="43" spans="1:8" x14ac:dyDescent="0.25">
      <c r="A43">
        <v>1264</v>
      </c>
      <c r="B43" s="2">
        <v>2418.69</v>
      </c>
      <c r="C43">
        <v>6.53</v>
      </c>
      <c r="D43">
        <v>16</v>
      </c>
      <c r="E43" s="3">
        <f t="shared" si="2"/>
        <v>104.48</v>
      </c>
      <c r="F43" s="1">
        <v>-1.8597271999999998</v>
      </c>
      <c r="G43" s="3">
        <v>17.799839203675344</v>
      </c>
      <c r="H43">
        <f t="shared" si="1"/>
        <v>-18.243923832</v>
      </c>
    </row>
    <row r="44" spans="1:8" x14ac:dyDescent="0.25">
      <c r="A44">
        <v>1268</v>
      </c>
      <c r="B44" s="2">
        <v>2369.48</v>
      </c>
      <c r="C44">
        <v>6.29</v>
      </c>
      <c r="D44">
        <v>16</v>
      </c>
      <c r="E44" s="3">
        <f t="shared" si="2"/>
        <v>100.64</v>
      </c>
      <c r="F44" s="1">
        <v>-1.814368</v>
      </c>
      <c r="G44" s="3">
        <v>18.028298887122414</v>
      </c>
      <c r="H44">
        <f t="shared" si="1"/>
        <v>-17.798950080000001</v>
      </c>
    </row>
    <row r="45" spans="1:8" x14ac:dyDescent="0.25">
      <c r="A45">
        <v>1272</v>
      </c>
      <c r="B45" s="2">
        <v>2345.4499999999998</v>
      </c>
      <c r="C45">
        <v>6</v>
      </c>
      <c r="D45">
        <v>16</v>
      </c>
      <c r="E45" s="3">
        <f t="shared" si="2"/>
        <v>96</v>
      </c>
      <c r="F45" s="1">
        <v>-1.76447288</v>
      </c>
      <c r="G45" s="3">
        <v>18.379925833333335</v>
      </c>
      <c r="H45">
        <f t="shared" si="1"/>
        <v>-17.309478952800003</v>
      </c>
    </row>
    <row r="46" spans="1:8" x14ac:dyDescent="0.25">
      <c r="A46">
        <v>1276</v>
      </c>
      <c r="B46" s="2">
        <v>2306.38</v>
      </c>
      <c r="C46">
        <v>5.75</v>
      </c>
      <c r="D46">
        <v>16</v>
      </c>
      <c r="E46" s="3">
        <f t="shared" si="2"/>
        <v>92</v>
      </c>
      <c r="F46" s="1">
        <v>-1.7009699999999999</v>
      </c>
      <c r="G46" s="3">
        <v>18.488804347826086</v>
      </c>
      <c r="H46">
        <f t="shared" si="1"/>
        <v>-16.686515700000001</v>
      </c>
    </row>
    <row r="47" spans="1:8" x14ac:dyDescent="0.25">
      <c r="A47">
        <v>1280</v>
      </c>
      <c r="B47" s="2">
        <v>2277.85</v>
      </c>
      <c r="C47">
        <v>5.5</v>
      </c>
      <c r="D47">
        <v>16</v>
      </c>
      <c r="E47" s="3">
        <f t="shared" si="2"/>
        <v>88</v>
      </c>
      <c r="F47" s="1">
        <v>-1.66921856</v>
      </c>
      <c r="G47" s="3">
        <v>18.968392727272729</v>
      </c>
      <c r="H47">
        <f t="shared" si="1"/>
        <v>-16.375034073600002</v>
      </c>
    </row>
    <row r="48" spans="1:8" x14ac:dyDescent="0.25">
      <c r="A48">
        <v>1284</v>
      </c>
      <c r="B48" s="2">
        <v>2248.15</v>
      </c>
      <c r="C48">
        <v>5.3</v>
      </c>
      <c r="D48">
        <v>16</v>
      </c>
      <c r="E48" s="3">
        <f t="shared" si="2"/>
        <v>84.8</v>
      </c>
      <c r="F48" s="1">
        <v>-1.6102516</v>
      </c>
      <c r="G48" s="3">
        <v>18.988816037735848</v>
      </c>
      <c r="H48">
        <f t="shared" si="1"/>
        <v>-15.796568196000001</v>
      </c>
    </row>
    <row r="49" spans="1:8" x14ac:dyDescent="0.25">
      <c r="A49">
        <v>1288</v>
      </c>
      <c r="B49" s="2">
        <v>2222.36</v>
      </c>
      <c r="C49">
        <v>5</v>
      </c>
      <c r="D49">
        <v>16</v>
      </c>
      <c r="E49" s="3">
        <f t="shared" si="2"/>
        <v>80</v>
      </c>
      <c r="F49" s="1">
        <v>-1.5558205600000001</v>
      </c>
      <c r="G49" s="3">
        <v>19.447757000000003</v>
      </c>
      <c r="H49">
        <f t="shared" si="1"/>
        <v>-15.262599693600002</v>
      </c>
    </row>
    <row r="50" spans="1:8" x14ac:dyDescent="0.25">
      <c r="A50">
        <v>1292</v>
      </c>
      <c r="B50" s="2">
        <v>2198.7199999999998</v>
      </c>
      <c r="C50">
        <v>4.8</v>
      </c>
      <c r="D50">
        <v>16</v>
      </c>
      <c r="E50" s="3">
        <f t="shared" si="2"/>
        <v>76.8</v>
      </c>
      <c r="F50" s="1">
        <v>-1.51499728</v>
      </c>
      <c r="G50" s="3">
        <v>19.72652708333333</v>
      </c>
      <c r="H50">
        <f t="shared" si="1"/>
        <v>-14.8621233168</v>
      </c>
    </row>
    <row r="51" spans="1:8" x14ac:dyDescent="0.25">
      <c r="A51">
        <v>1296</v>
      </c>
      <c r="B51" s="2">
        <v>2156.96</v>
      </c>
      <c r="C51">
        <v>4.5999999999999996</v>
      </c>
      <c r="D51">
        <v>16</v>
      </c>
      <c r="E51" s="3">
        <f t="shared" si="2"/>
        <v>73.599999999999994</v>
      </c>
      <c r="F51" s="1">
        <v>-1.4877817599999998</v>
      </c>
      <c r="G51" s="3">
        <v>20.214426086956522</v>
      </c>
      <c r="H51">
        <f t="shared" si="1"/>
        <v>-14.5951390656</v>
      </c>
    </row>
    <row r="52" spans="1:8" x14ac:dyDescent="0.25">
      <c r="A52">
        <v>1300</v>
      </c>
      <c r="B52" s="2">
        <v>2140.15</v>
      </c>
      <c r="C52">
        <v>4.4000000000000004</v>
      </c>
      <c r="D52">
        <v>16</v>
      </c>
      <c r="E52" s="3">
        <f t="shared" si="2"/>
        <v>70.400000000000006</v>
      </c>
      <c r="F52" s="1">
        <v>-1.4378866399999999</v>
      </c>
      <c r="G52" s="3">
        <v>20.424526136363635</v>
      </c>
      <c r="H52">
        <f t="shared" si="1"/>
        <v>-14.1056679384</v>
      </c>
    </row>
    <row r="53" spans="1:8" x14ac:dyDescent="0.25">
      <c r="A53">
        <v>1304</v>
      </c>
      <c r="B53" s="2">
        <v>2105.77</v>
      </c>
      <c r="C53">
        <v>4.2</v>
      </c>
      <c r="D53">
        <v>16</v>
      </c>
      <c r="E53" s="3">
        <f t="shared" si="2"/>
        <v>67.2</v>
      </c>
      <c r="F53" s="1">
        <v>-1.39706336</v>
      </c>
      <c r="G53" s="3">
        <v>20.789633333333331</v>
      </c>
      <c r="H53">
        <f t="shared" si="1"/>
        <v>-13.705191561600001</v>
      </c>
    </row>
    <row r="54" spans="1:8" x14ac:dyDescent="0.25">
      <c r="A54">
        <v>1308</v>
      </c>
      <c r="B54" s="2">
        <v>2081.37</v>
      </c>
      <c r="C54">
        <v>3.98</v>
      </c>
      <c r="D54">
        <v>16</v>
      </c>
      <c r="E54" s="3">
        <f t="shared" si="2"/>
        <v>63.68</v>
      </c>
      <c r="F54" s="1">
        <v>-1.34716824</v>
      </c>
      <c r="G54" s="3">
        <v>21.155280150753768</v>
      </c>
      <c r="H54">
        <f t="shared" si="1"/>
        <v>-13.215720434400001</v>
      </c>
    </row>
    <row r="55" spans="1:8" x14ac:dyDescent="0.25">
      <c r="A55">
        <v>1312</v>
      </c>
      <c r="B55" s="2">
        <v>2039.83</v>
      </c>
      <c r="C55">
        <v>3.7</v>
      </c>
      <c r="D55">
        <v>16</v>
      </c>
      <c r="E55" s="3">
        <f t="shared" si="2"/>
        <v>59.2</v>
      </c>
      <c r="F55" s="1">
        <v>-1.30180904</v>
      </c>
      <c r="G55" s="3">
        <v>21.99001756756757</v>
      </c>
      <c r="H55">
        <f t="shared" si="1"/>
        <v>-12.7707466824</v>
      </c>
    </row>
    <row r="56" spans="1:8" x14ac:dyDescent="0.25">
      <c r="A56">
        <v>1316</v>
      </c>
      <c r="B56" s="2">
        <v>2001.27</v>
      </c>
      <c r="C56">
        <v>3.58</v>
      </c>
      <c r="D56">
        <v>16</v>
      </c>
      <c r="E56" s="3">
        <f t="shared" si="2"/>
        <v>57.28</v>
      </c>
      <c r="F56" s="1">
        <v>-1.2564498399999999</v>
      </c>
      <c r="G56" s="3">
        <v>21.935227653631284</v>
      </c>
      <c r="H56">
        <f t="shared" si="1"/>
        <v>-12.325772930399999</v>
      </c>
    </row>
    <row r="57" spans="1:8" x14ac:dyDescent="0.25">
      <c r="A57">
        <v>1320</v>
      </c>
      <c r="B57" s="2">
        <v>1968.2</v>
      </c>
      <c r="C57">
        <v>3.39</v>
      </c>
      <c r="D57">
        <v>16</v>
      </c>
      <c r="E57" s="3">
        <f t="shared" si="2"/>
        <v>54.24</v>
      </c>
      <c r="F57" s="1">
        <v>-1.2020188000000001</v>
      </c>
      <c r="G57" s="3">
        <v>22.161113569321529</v>
      </c>
      <c r="H57">
        <f t="shared" si="1"/>
        <v>-11.791804428000001</v>
      </c>
    </row>
    <row r="58" spans="1:8" x14ac:dyDescent="0.25">
      <c r="A58">
        <v>1324</v>
      </c>
      <c r="B58" s="2">
        <v>1935.5</v>
      </c>
      <c r="C58">
        <v>3.2</v>
      </c>
      <c r="D58">
        <v>16</v>
      </c>
      <c r="E58" s="3">
        <f t="shared" si="2"/>
        <v>51.2</v>
      </c>
      <c r="F58" s="1">
        <v>-1.1611955199999999</v>
      </c>
      <c r="G58" s="3">
        <v>22.679599999999997</v>
      </c>
      <c r="H58">
        <f t="shared" si="1"/>
        <v>-11.3913280512</v>
      </c>
    </row>
    <row r="59" spans="1:8" x14ac:dyDescent="0.25">
      <c r="A59">
        <v>1328</v>
      </c>
      <c r="B59" s="2">
        <v>1902.76</v>
      </c>
      <c r="C59">
        <v>3</v>
      </c>
      <c r="D59">
        <v>16</v>
      </c>
      <c r="E59" s="3">
        <f t="shared" si="2"/>
        <v>48</v>
      </c>
      <c r="F59" s="1">
        <v>-1.12037224</v>
      </c>
      <c r="G59" s="3">
        <v>23.341088333333335</v>
      </c>
      <c r="H59">
        <f t="shared" si="1"/>
        <v>-10.9908516744</v>
      </c>
    </row>
    <row r="60" spans="1:8" x14ac:dyDescent="0.25">
      <c r="A60">
        <v>1332</v>
      </c>
      <c r="B60" s="2">
        <v>1869.56</v>
      </c>
      <c r="C60">
        <v>2.84</v>
      </c>
      <c r="D60">
        <v>16</v>
      </c>
      <c r="E60" s="3">
        <f t="shared" si="2"/>
        <v>45.44</v>
      </c>
      <c r="F60" s="1">
        <v>-1.1022285600000001</v>
      </c>
      <c r="G60" s="3">
        <v>24.256790492957748</v>
      </c>
      <c r="H60">
        <f t="shared" si="1"/>
        <v>-10.812862173600001</v>
      </c>
    </row>
    <row r="61" spans="1:8" x14ac:dyDescent="0.25">
      <c r="A61">
        <v>1336</v>
      </c>
      <c r="B61" s="2">
        <v>1839.98</v>
      </c>
      <c r="C61">
        <v>2.7</v>
      </c>
      <c r="D61">
        <v>16</v>
      </c>
      <c r="E61" s="3">
        <f t="shared" si="2"/>
        <v>43.2</v>
      </c>
      <c r="F61" s="1">
        <v>-1.05233344</v>
      </c>
      <c r="G61" s="3">
        <v>24.359570370370367</v>
      </c>
      <c r="H61">
        <f t="shared" si="1"/>
        <v>-10.323391046399999</v>
      </c>
    </row>
    <row r="62" spans="1:8" x14ac:dyDescent="0.25">
      <c r="A62">
        <v>1340</v>
      </c>
      <c r="B62" s="2">
        <v>1807.39</v>
      </c>
      <c r="C62">
        <v>2.4</v>
      </c>
      <c r="D62">
        <v>16</v>
      </c>
      <c r="E62" s="3">
        <f t="shared" si="2"/>
        <v>38.4</v>
      </c>
      <c r="F62" s="1">
        <v>-1.0205820000000001</v>
      </c>
      <c r="G62" s="3">
        <v>26.57765625</v>
      </c>
      <c r="H62">
        <f t="shared" si="1"/>
        <v>-10.011909420000002</v>
      </c>
    </row>
    <row r="63" spans="1:8" x14ac:dyDescent="0.25">
      <c r="A63">
        <v>1344</v>
      </c>
      <c r="B63" s="2">
        <v>1773.08</v>
      </c>
      <c r="C63">
        <v>2.2999999999999998</v>
      </c>
      <c r="D63">
        <v>16</v>
      </c>
      <c r="E63" s="3">
        <f t="shared" si="2"/>
        <v>36.799999999999997</v>
      </c>
      <c r="F63" s="1">
        <v>-0.97975872000000008</v>
      </c>
      <c r="G63" s="3">
        <v>26.623878260869567</v>
      </c>
      <c r="H63">
        <f t="shared" si="1"/>
        <v>-9.6114330432000017</v>
      </c>
    </row>
    <row r="64" spans="1:8" x14ac:dyDescent="0.25">
      <c r="A64">
        <v>1348</v>
      </c>
      <c r="B64" s="2">
        <v>1737.6</v>
      </c>
      <c r="C64">
        <v>2.1</v>
      </c>
      <c r="D64">
        <v>16</v>
      </c>
      <c r="E64" s="3">
        <f t="shared" si="2"/>
        <v>33.6</v>
      </c>
      <c r="F64" s="1">
        <v>-0.94347135999999998</v>
      </c>
      <c r="G64" s="3">
        <v>28.079504761904762</v>
      </c>
      <c r="H64">
        <f t="shared" si="1"/>
        <v>-9.2554540416000002</v>
      </c>
    </row>
    <row r="65" spans="1:8" x14ac:dyDescent="0.25">
      <c r="A65">
        <v>1352</v>
      </c>
      <c r="B65" s="2">
        <v>1704.96</v>
      </c>
      <c r="C65">
        <v>2</v>
      </c>
      <c r="D65">
        <v>16</v>
      </c>
      <c r="E65" s="3">
        <f t="shared" si="2"/>
        <v>32</v>
      </c>
      <c r="F65" s="1">
        <v>-0.90264807999999996</v>
      </c>
      <c r="G65" s="3">
        <v>28.207752499999998</v>
      </c>
      <c r="H65">
        <f t="shared" si="1"/>
        <v>-8.8549776647999998</v>
      </c>
    </row>
    <row r="66" spans="1:8" x14ac:dyDescent="0.25">
      <c r="A66">
        <v>1356</v>
      </c>
      <c r="B66" s="2">
        <v>1667.06</v>
      </c>
      <c r="C66">
        <v>1.9</v>
      </c>
      <c r="D66">
        <v>16</v>
      </c>
      <c r="E66" s="3">
        <f t="shared" si="2"/>
        <v>30.4</v>
      </c>
      <c r="F66" s="1">
        <v>-0.87089664</v>
      </c>
      <c r="G66" s="3">
        <v>28.647915789473682</v>
      </c>
      <c r="H66">
        <f t="shared" si="1"/>
        <v>-8.5434960384000007</v>
      </c>
    </row>
    <row r="67" spans="1:8" x14ac:dyDescent="0.25">
      <c r="A67">
        <v>1360</v>
      </c>
      <c r="B67" s="2">
        <v>1630.35</v>
      </c>
      <c r="C67">
        <v>1.7</v>
      </c>
      <c r="D67">
        <v>16</v>
      </c>
      <c r="E67" s="3">
        <f t="shared" ref="E67:E98" si="3">D67*C67</f>
        <v>27.2</v>
      </c>
      <c r="F67" s="1">
        <v>-0.82100152000000004</v>
      </c>
      <c r="G67" s="3">
        <v>30.183879411764707</v>
      </c>
      <c r="H67">
        <f t="shared" ref="H67:H130" si="4">F67*9.81</f>
        <v>-8.0540249112000009</v>
      </c>
    </row>
    <row r="68" spans="1:8" x14ac:dyDescent="0.25">
      <c r="A68">
        <v>1364</v>
      </c>
      <c r="B68" s="2">
        <v>1589.17</v>
      </c>
      <c r="C68">
        <v>1.6</v>
      </c>
      <c r="D68">
        <v>16</v>
      </c>
      <c r="E68" s="3">
        <f t="shared" si="3"/>
        <v>25.6</v>
      </c>
      <c r="F68" s="1">
        <v>-0.78471415999999994</v>
      </c>
      <c r="G68" s="3">
        <v>30.652896875</v>
      </c>
      <c r="H68">
        <f t="shared" si="4"/>
        <v>-7.6980459095999993</v>
      </c>
    </row>
    <row r="69" spans="1:8" x14ac:dyDescent="0.25">
      <c r="A69">
        <v>1368</v>
      </c>
      <c r="B69" s="2">
        <v>1553.88</v>
      </c>
      <c r="C69">
        <v>1.5</v>
      </c>
      <c r="D69">
        <v>16</v>
      </c>
      <c r="E69" s="3">
        <f t="shared" si="3"/>
        <v>24</v>
      </c>
      <c r="F69" s="1">
        <v>-0.74389087999999992</v>
      </c>
      <c r="G69" s="3">
        <v>30.99545333333333</v>
      </c>
      <c r="H69">
        <f t="shared" si="4"/>
        <v>-7.2975695327999999</v>
      </c>
    </row>
    <row r="70" spans="1:8" x14ac:dyDescent="0.25">
      <c r="A70">
        <v>1372</v>
      </c>
      <c r="B70" s="2">
        <v>1518.54</v>
      </c>
      <c r="C70">
        <v>1.4</v>
      </c>
      <c r="D70">
        <v>16</v>
      </c>
      <c r="E70" s="3">
        <f t="shared" si="3"/>
        <v>22.4</v>
      </c>
      <c r="F70" s="1">
        <v>-0.71667535999999998</v>
      </c>
      <c r="G70" s="3">
        <v>31.994435714285714</v>
      </c>
      <c r="H70">
        <f t="shared" si="4"/>
        <v>-7.0305852816000005</v>
      </c>
    </row>
    <row r="71" spans="1:8" x14ac:dyDescent="0.25">
      <c r="A71">
        <v>1376</v>
      </c>
      <c r="B71" s="2">
        <v>1481.78</v>
      </c>
      <c r="C71">
        <v>1.3</v>
      </c>
      <c r="D71">
        <v>16</v>
      </c>
      <c r="E71" s="3">
        <f t="shared" si="3"/>
        <v>20.8</v>
      </c>
      <c r="F71" s="1">
        <v>-0.68038799999999999</v>
      </c>
      <c r="G71" s="3">
        <v>32.710961538461532</v>
      </c>
      <c r="H71">
        <f t="shared" si="4"/>
        <v>-6.6746062799999999</v>
      </c>
    </row>
    <row r="72" spans="1:8" x14ac:dyDescent="0.25">
      <c r="A72">
        <v>1380</v>
      </c>
      <c r="B72" s="2">
        <v>1448.45</v>
      </c>
      <c r="C72">
        <v>1.2</v>
      </c>
      <c r="D72">
        <v>16</v>
      </c>
      <c r="E72" s="3">
        <f t="shared" si="3"/>
        <v>19.2</v>
      </c>
      <c r="F72" s="1">
        <v>-0.64863655999999992</v>
      </c>
      <c r="G72" s="3">
        <v>33.783154166666662</v>
      </c>
      <c r="H72">
        <f t="shared" si="4"/>
        <v>-6.3631246535999999</v>
      </c>
    </row>
    <row r="73" spans="1:8" x14ac:dyDescent="0.25">
      <c r="A73">
        <v>1384</v>
      </c>
      <c r="B73" s="2">
        <v>1409.65</v>
      </c>
      <c r="C73">
        <v>1.1000000000000001</v>
      </c>
      <c r="D73">
        <v>16</v>
      </c>
      <c r="E73" s="3">
        <f t="shared" si="3"/>
        <v>17.600000000000001</v>
      </c>
      <c r="F73" s="1">
        <v>-0.61688512000000006</v>
      </c>
      <c r="G73" s="3">
        <v>35.050290909090911</v>
      </c>
      <c r="H73">
        <f t="shared" si="4"/>
        <v>-6.0516430272000008</v>
      </c>
    </row>
    <row r="74" spans="1:8" x14ac:dyDescent="0.25">
      <c r="A74">
        <v>1388</v>
      </c>
      <c r="B74" s="2">
        <v>1362.08</v>
      </c>
      <c r="C74">
        <v>1</v>
      </c>
      <c r="D74">
        <v>16</v>
      </c>
      <c r="E74" s="3">
        <f t="shared" si="3"/>
        <v>16</v>
      </c>
      <c r="F74" s="1">
        <v>-0.58059775999999996</v>
      </c>
      <c r="G74" s="3">
        <v>36.28736</v>
      </c>
      <c r="H74">
        <f t="shared" si="4"/>
        <v>-5.6956640256000002</v>
      </c>
    </row>
    <row r="75" spans="1:8" x14ac:dyDescent="0.25">
      <c r="A75">
        <v>1392</v>
      </c>
      <c r="B75" s="2">
        <v>1324.67</v>
      </c>
      <c r="C75">
        <v>0.9</v>
      </c>
      <c r="D75">
        <v>16</v>
      </c>
      <c r="E75" s="3">
        <f t="shared" si="3"/>
        <v>14.4</v>
      </c>
      <c r="F75" s="1">
        <v>-0.53977447999999995</v>
      </c>
      <c r="G75" s="3">
        <v>37.484338888888885</v>
      </c>
      <c r="H75">
        <f t="shared" si="4"/>
        <v>-5.2951876487999998</v>
      </c>
    </row>
    <row r="76" spans="1:8" x14ac:dyDescent="0.25">
      <c r="A76">
        <v>1396</v>
      </c>
      <c r="B76" s="2">
        <v>1284.8399999999999</v>
      </c>
      <c r="C76">
        <v>0.8</v>
      </c>
      <c r="D76">
        <v>16</v>
      </c>
      <c r="E76" s="3">
        <f t="shared" si="3"/>
        <v>12.8</v>
      </c>
      <c r="F76" s="1">
        <v>-0.5125589599999999</v>
      </c>
      <c r="G76" s="3">
        <v>40.043668749999995</v>
      </c>
      <c r="H76">
        <f t="shared" si="4"/>
        <v>-5.0282033975999996</v>
      </c>
    </row>
    <row r="77" spans="1:8" x14ac:dyDescent="0.25">
      <c r="A77">
        <v>1400</v>
      </c>
      <c r="B77" s="2">
        <v>1246.1400000000001</v>
      </c>
      <c r="C77">
        <v>0.7</v>
      </c>
      <c r="D77">
        <v>16</v>
      </c>
      <c r="E77" s="3">
        <f t="shared" si="3"/>
        <v>11.2</v>
      </c>
      <c r="F77" s="1">
        <v>-0.48080752000000004</v>
      </c>
      <c r="G77" s="3">
        <v>42.92924285714286</v>
      </c>
      <c r="H77">
        <f t="shared" si="4"/>
        <v>-4.7167217712000005</v>
      </c>
    </row>
    <row r="78" spans="1:8" x14ac:dyDescent="0.25">
      <c r="A78">
        <v>1404</v>
      </c>
      <c r="B78" s="2">
        <v>1199.3800000000001</v>
      </c>
      <c r="C78">
        <v>0.66</v>
      </c>
      <c r="D78">
        <v>16</v>
      </c>
      <c r="E78" s="3">
        <f t="shared" si="3"/>
        <v>10.56</v>
      </c>
      <c r="F78" s="1">
        <v>-0.44452016</v>
      </c>
      <c r="G78" s="3">
        <v>42.094712121212119</v>
      </c>
      <c r="H78">
        <f t="shared" si="4"/>
        <v>-4.3607427695999998</v>
      </c>
    </row>
    <row r="79" spans="1:8" x14ac:dyDescent="0.25">
      <c r="A79">
        <v>1408</v>
      </c>
      <c r="B79" s="2">
        <v>1152.94</v>
      </c>
      <c r="C79">
        <v>0.56000000000000005</v>
      </c>
      <c r="D79">
        <v>16</v>
      </c>
      <c r="E79" s="3">
        <f t="shared" si="3"/>
        <v>8.9600000000000009</v>
      </c>
      <c r="F79" s="1">
        <v>-0.41730464</v>
      </c>
      <c r="G79" s="3">
        <v>46.574178571428568</v>
      </c>
      <c r="H79">
        <f t="shared" si="4"/>
        <v>-4.0937585184000005</v>
      </c>
    </row>
    <row r="80" spans="1:8" x14ac:dyDescent="0.25">
      <c r="A80">
        <v>1412</v>
      </c>
      <c r="B80" s="2">
        <v>1112.71</v>
      </c>
      <c r="C80">
        <v>0.5</v>
      </c>
      <c r="D80">
        <v>16</v>
      </c>
      <c r="E80" s="3">
        <f t="shared" si="3"/>
        <v>8</v>
      </c>
      <c r="F80" s="1">
        <v>-0.38555319999999998</v>
      </c>
      <c r="G80" s="3">
        <v>48.19415</v>
      </c>
      <c r="H80">
        <f t="shared" si="4"/>
        <v>-3.7822768920000001</v>
      </c>
    </row>
    <row r="81" spans="1:8" x14ac:dyDescent="0.25">
      <c r="A81">
        <v>1416</v>
      </c>
      <c r="B81" s="2">
        <v>1064.1099999999999</v>
      </c>
      <c r="C81">
        <v>0.4</v>
      </c>
      <c r="D81">
        <v>16</v>
      </c>
      <c r="E81" s="3">
        <f t="shared" si="3"/>
        <v>6.4</v>
      </c>
      <c r="F81" s="1">
        <v>-0.35380176000000002</v>
      </c>
      <c r="G81" s="3">
        <v>55.281524999999995</v>
      </c>
      <c r="H81">
        <f t="shared" si="4"/>
        <v>-3.4707952656000005</v>
      </c>
    </row>
    <row r="82" spans="1:8" x14ac:dyDescent="0.25">
      <c r="A82">
        <v>1420</v>
      </c>
      <c r="B82" s="2">
        <v>1016.48</v>
      </c>
      <c r="C82">
        <v>0.4</v>
      </c>
      <c r="D82">
        <v>16</v>
      </c>
      <c r="E82" s="3">
        <f t="shared" si="3"/>
        <v>6.4</v>
      </c>
      <c r="F82" s="1">
        <v>-0.32205032</v>
      </c>
      <c r="G82" s="3">
        <v>50.320362499999995</v>
      </c>
      <c r="H82">
        <f t="shared" si="4"/>
        <v>-3.1593136392000001</v>
      </c>
    </row>
    <row r="83" spans="1:8" x14ac:dyDescent="0.25">
      <c r="A83">
        <v>1424</v>
      </c>
      <c r="B83" s="2">
        <v>969.68</v>
      </c>
      <c r="C83">
        <v>0.37</v>
      </c>
      <c r="D83">
        <v>16</v>
      </c>
      <c r="E83" s="3">
        <f t="shared" si="3"/>
        <v>5.92</v>
      </c>
      <c r="F83" s="1">
        <v>-0.29483480000000001</v>
      </c>
      <c r="G83" s="3">
        <v>49.803175675675675</v>
      </c>
      <c r="H83">
        <f t="shared" si="4"/>
        <v>-2.8923293880000003</v>
      </c>
    </row>
    <row r="84" spans="1:8" x14ac:dyDescent="0.25">
      <c r="A84">
        <v>1428</v>
      </c>
      <c r="B84" s="2">
        <v>916.03</v>
      </c>
      <c r="C84">
        <v>0.3</v>
      </c>
      <c r="D84">
        <v>16</v>
      </c>
      <c r="E84" s="3">
        <f t="shared" si="3"/>
        <v>4.8</v>
      </c>
      <c r="F84" s="1">
        <v>-0.25854743999999996</v>
      </c>
      <c r="G84" s="3">
        <v>53.864049999999999</v>
      </c>
      <c r="H84">
        <f t="shared" si="4"/>
        <v>-2.5363503863999997</v>
      </c>
    </row>
    <row r="85" spans="1:8" x14ac:dyDescent="0.25">
      <c r="A85">
        <v>1432</v>
      </c>
      <c r="B85" s="2">
        <v>868.6</v>
      </c>
      <c r="C85">
        <v>0.2</v>
      </c>
      <c r="D85">
        <v>16</v>
      </c>
      <c r="E85" s="3">
        <f t="shared" si="3"/>
        <v>3.2</v>
      </c>
      <c r="F85" s="1">
        <v>-0.23586784</v>
      </c>
      <c r="G85" s="3">
        <v>73.708699999999993</v>
      </c>
      <c r="H85">
        <f t="shared" si="4"/>
        <v>-2.3138635104</v>
      </c>
    </row>
    <row r="86" spans="1:8" x14ac:dyDescent="0.25">
      <c r="A86">
        <v>1436</v>
      </c>
      <c r="B86" s="2">
        <v>809.94</v>
      </c>
      <c r="C86">
        <v>0.2</v>
      </c>
      <c r="D86">
        <v>16</v>
      </c>
      <c r="E86" s="3">
        <f t="shared" si="3"/>
        <v>3.2</v>
      </c>
      <c r="F86" s="1">
        <v>-0.20865232</v>
      </c>
      <c r="G86" s="3">
        <v>65.203850000000003</v>
      </c>
      <c r="H86">
        <f t="shared" si="4"/>
        <v>-2.0468792592000002</v>
      </c>
    </row>
    <row r="87" spans="1:8" x14ac:dyDescent="0.25">
      <c r="A87">
        <v>1440</v>
      </c>
      <c r="B87" s="2">
        <v>758.15</v>
      </c>
      <c r="C87">
        <v>0.2</v>
      </c>
      <c r="D87">
        <v>16</v>
      </c>
      <c r="E87" s="3">
        <f t="shared" si="3"/>
        <v>3.2</v>
      </c>
      <c r="F87" s="1">
        <v>-0.18143680000000001</v>
      </c>
      <c r="G87" s="3">
        <v>56.698999999999998</v>
      </c>
      <c r="H87">
        <f t="shared" si="4"/>
        <v>-1.7798950080000002</v>
      </c>
    </row>
    <row r="88" spans="1:8" x14ac:dyDescent="0.25">
      <c r="A88">
        <v>1444</v>
      </c>
      <c r="B88" s="2">
        <v>697.28</v>
      </c>
      <c r="C88">
        <v>0.1</v>
      </c>
      <c r="D88">
        <v>16</v>
      </c>
      <c r="E88" s="3">
        <f t="shared" si="3"/>
        <v>1.6</v>
      </c>
      <c r="F88" s="1">
        <v>-0.14968536000000002</v>
      </c>
      <c r="G88" s="3">
        <v>93.553349999999995</v>
      </c>
      <c r="H88">
        <f t="shared" si="4"/>
        <v>-1.4684133816000002</v>
      </c>
    </row>
    <row r="89" spans="1:8" x14ac:dyDescent="0.25">
      <c r="A89">
        <v>1448</v>
      </c>
      <c r="B89" s="2">
        <v>641.26</v>
      </c>
      <c r="C89">
        <v>0.1</v>
      </c>
      <c r="D89">
        <v>16</v>
      </c>
      <c r="E89" s="3">
        <f t="shared" si="3"/>
        <v>1.6</v>
      </c>
      <c r="F89" s="1">
        <v>-0.12700576000000002</v>
      </c>
      <c r="G89" s="3">
        <v>79.378600000000006</v>
      </c>
      <c r="H89">
        <f t="shared" si="4"/>
        <v>-1.2459265056000004</v>
      </c>
    </row>
    <row r="90" spans="1:8" x14ac:dyDescent="0.25">
      <c r="A90">
        <v>1452</v>
      </c>
      <c r="B90" s="2">
        <v>577.80999999999995</v>
      </c>
      <c r="C90">
        <v>0.1</v>
      </c>
      <c r="D90">
        <v>16</v>
      </c>
      <c r="E90" s="3">
        <f t="shared" si="3"/>
        <v>1.6</v>
      </c>
      <c r="F90" s="1">
        <v>-0.10432616</v>
      </c>
      <c r="G90" s="3">
        <v>65.203850000000003</v>
      </c>
      <c r="H90">
        <f t="shared" si="4"/>
        <v>-1.0234396296000001</v>
      </c>
    </row>
    <row r="91" spans="1:8" x14ac:dyDescent="0.25">
      <c r="A91">
        <v>1456</v>
      </c>
      <c r="B91" s="2">
        <v>513.25</v>
      </c>
      <c r="C91">
        <v>0.05</v>
      </c>
      <c r="D91">
        <v>16</v>
      </c>
      <c r="E91" s="3">
        <f t="shared" si="3"/>
        <v>0.8</v>
      </c>
      <c r="F91" s="1">
        <v>-8.6182480000000006E-2</v>
      </c>
      <c r="G91" s="3">
        <v>107.7281</v>
      </c>
      <c r="H91">
        <f t="shared" si="4"/>
        <v>-0.84545012880000014</v>
      </c>
    </row>
    <row r="92" spans="1:8" x14ac:dyDescent="0.25">
      <c r="A92">
        <v>1460</v>
      </c>
      <c r="B92" s="2">
        <v>449.5</v>
      </c>
      <c r="C92">
        <v>0.05</v>
      </c>
      <c r="D92">
        <v>16</v>
      </c>
      <c r="E92" s="3">
        <f t="shared" si="3"/>
        <v>0.8</v>
      </c>
      <c r="F92" s="1">
        <v>-6.8038799999999997E-2</v>
      </c>
      <c r="G92" s="3">
        <v>85.04849999999999</v>
      </c>
      <c r="H92">
        <f t="shared" si="4"/>
        <v>-0.66746062799999994</v>
      </c>
    </row>
    <row r="93" spans="1:8" x14ac:dyDescent="0.25">
      <c r="A93">
        <v>1464</v>
      </c>
      <c r="B93" s="2">
        <v>388.48</v>
      </c>
      <c r="C93">
        <v>0.05</v>
      </c>
      <c r="D93">
        <v>16</v>
      </c>
      <c r="E93" s="3">
        <f t="shared" si="3"/>
        <v>0.8</v>
      </c>
      <c r="F93" s="1">
        <v>-4.9895120000000001E-2</v>
      </c>
      <c r="G93" s="3">
        <v>62.368899999999996</v>
      </c>
      <c r="H93">
        <f t="shared" si="4"/>
        <v>-0.48947112720000002</v>
      </c>
    </row>
    <row r="94" spans="1:8" x14ac:dyDescent="0.25">
      <c r="A94">
        <v>1468</v>
      </c>
      <c r="B94" s="2">
        <v>317.17</v>
      </c>
      <c r="C94">
        <v>0.05</v>
      </c>
      <c r="D94">
        <v>16</v>
      </c>
      <c r="E94" s="3">
        <f t="shared" si="3"/>
        <v>0.8</v>
      </c>
      <c r="F94" s="1">
        <v>-3.6287359999999998E-2</v>
      </c>
      <c r="G94" s="3">
        <v>45.359199999999994</v>
      </c>
      <c r="H94">
        <f t="shared" si="4"/>
        <v>-0.35597900160000001</v>
      </c>
    </row>
    <row r="95" spans="1:8" x14ac:dyDescent="0.25">
      <c r="A95">
        <v>1472</v>
      </c>
      <c r="B95" s="2">
        <v>0</v>
      </c>
      <c r="C95">
        <v>0</v>
      </c>
      <c r="D95">
        <v>16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16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16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16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16</v>
      </c>
      <c r="E99" s="3">
        <f t="shared" ref="E99:E101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16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16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16</v>
      </c>
      <c r="E102" s="3">
        <f>C102*D102</f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16</v>
      </c>
      <c r="E103" s="3">
        <f t="shared" ref="E103:E166" si="6">C103*D103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16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16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16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16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16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16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308.25</v>
      </c>
      <c r="C110">
        <v>0.05</v>
      </c>
      <c r="D110">
        <v>16</v>
      </c>
      <c r="E110" s="3">
        <f t="shared" si="6"/>
        <v>0.8</v>
      </c>
      <c r="F110" s="1">
        <v>4.0823279999999997E-2</v>
      </c>
      <c r="G110" s="3">
        <v>51.029099999999993</v>
      </c>
      <c r="H110">
        <f t="shared" si="4"/>
        <v>0.40047637679999998</v>
      </c>
    </row>
    <row r="111" spans="1:8" x14ac:dyDescent="0.25">
      <c r="A111">
        <v>1536</v>
      </c>
      <c r="B111" s="2">
        <v>374.8</v>
      </c>
      <c r="C111">
        <v>0.05</v>
      </c>
      <c r="D111">
        <v>16</v>
      </c>
      <c r="E111" s="3">
        <f t="shared" si="6"/>
        <v>0.8</v>
      </c>
      <c r="F111" s="1">
        <v>5.4431040000000007E-2</v>
      </c>
      <c r="G111" s="3">
        <v>68.038799999999995</v>
      </c>
      <c r="H111">
        <f t="shared" si="4"/>
        <v>0.53396850240000004</v>
      </c>
    </row>
    <row r="112" spans="1:8" x14ac:dyDescent="0.25">
      <c r="A112">
        <v>1540</v>
      </c>
      <c r="B112" s="2">
        <v>440.8</v>
      </c>
      <c r="C112">
        <v>0.05</v>
      </c>
      <c r="D112">
        <v>16</v>
      </c>
      <c r="E112" s="3">
        <f t="shared" si="6"/>
        <v>0.8</v>
      </c>
      <c r="F112" s="1">
        <v>7.7110640000000008E-2</v>
      </c>
      <c r="G112" s="3">
        <v>96.388300000000001</v>
      </c>
      <c r="H112">
        <f t="shared" si="4"/>
        <v>0.7564553784000001</v>
      </c>
    </row>
    <row r="113" spans="1:8" x14ac:dyDescent="0.25">
      <c r="A113">
        <v>1544</v>
      </c>
      <c r="B113" s="2">
        <v>508.01</v>
      </c>
      <c r="C113">
        <v>0.05</v>
      </c>
      <c r="D113">
        <v>16</v>
      </c>
      <c r="E113" s="3">
        <f t="shared" si="6"/>
        <v>0.8</v>
      </c>
      <c r="F113" s="1">
        <v>9.9790240000000002E-2</v>
      </c>
      <c r="G113" s="3">
        <v>124.73779999999999</v>
      </c>
      <c r="H113">
        <f t="shared" si="4"/>
        <v>0.97894225440000004</v>
      </c>
    </row>
    <row r="114" spans="1:8" x14ac:dyDescent="0.25">
      <c r="A114">
        <v>1548</v>
      </c>
      <c r="B114" s="2">
        <v>572.86</v>
      </c>
      <c r="C114">
        <v>0.1</v>
      </c>
      <c r="D114">
        <v>16</v>
      </c>
      <c r="E114" s="3">
        <f t="shared" si="6"/>
        <v>1.6</v>
      </c>
      <c r="F114" s="1">
        <v>0.12700576</v>
      </c>
      <c r="G114" s="3">
        <v>79.378599999999977</v>
      </c>
      <c r="H114">
        <f t="shared" si="4"/>
        <v>1.2459265056</v>
      </c>
    </row>
    <row r="115" spans="1:8" x14ac:dyDescent="0.25">
      <c r="A115">
        <v>1552</v>
      </c>
      <c r="B115" s="2">
        <v>630.42999999999995</v>
      </c>
      <c r="C115">
        <v>0.1</v>
      </c>
      <c r="D115">
        <v>16</v>
      </c>
      <c r="E115" s="3">
        <f t="shared" si="6"/>
        <v>1.6</v>
      </c>
      <c r="F115" s="1">
        <v>0.15422127999999999</v>
      </c>
      <c r="G115" s="3">
        <v>96.388299999999987</v>
      </c>
      <c r="H115">
        <f t="shared" si="4"/>
        <v>1.5129107568</v>
      </c>
    </row>
    <row r="116" spans="1:8" x14ac:dyDescent="0.25">
      <c r="A116">
        <v>1556</v>
      </c>
      <c r="B116" s="2">
        <v>688.25</v>
      </c>
      <c r="C116">
        <v>0.1</v>
      </c>
      <c r="D116">
        <v>16</v>
      </c>
      <c r="E116" s="3">
        <f t="shared" si="6"/>
        <v>1.6</v>
      </c>
      <c r="F116" s="1">
        <v>0.18143679999999998</v>
      </c>
      <c r="G116" s="3">
        <v>113.39799999999998</v>
      </c>
      <c r="H116">
        <f t="shared" si="4"/>
        <v>1.779895008</v>
      </c>
    </row>
    <row r="117" spans="1:8" x14ac:dyDescent="0.25">
      <c r="A117">
        <v>1560</v>
      </c>
      <c r="B117" s="2">
        <v>749.32</v>
      </c>
      <c r="C117">
        <v>0.2</v>
      </c>
      <c r="D117">
        <v>16</v>
      </c>
      <c r="E117" s="3">
        <f t="shared" si="6"/>
        <v>3.2</v>
      </c>
      <c r="F117" s="1">
        <v>0.21772416</v>
      </c>
      <c r="G117" s="3">
        <v>68.038799999999995</v>
      </c>
      <c r="H117">
        <f t="shared" si="4"/>
        <v>2.1358740096000002</v>
      </c>
    </row>
    <row r="118" spans="1:8" x14ac:dyDescent="0.25">
      <c r="A118">
        <v>1564</v>
      </c>
      <c r="B118" s="2">
        <v>803.61</v>
      </c>
      <c r="C118">
        <v>0.2</v>
      </c>
      <c r="D118">
        <v>16</v>
      </c>
      <c r="E118" s="3">
        <f t="shared" si="6"/>
        <v>3.2</v>
      </c>
      <c r="F118" s="1">
        <v>0.24947559999999996</v>
      </c>
      <c r="G118" s="3">
        <v>77.961124999999981</v>
      </c>
      <c r="H118">
        <f t="shared" si="4"/>
        <v>2.4473556359999997</v>
      </c>
    </row>
    <row r="119" spans="1:8" x14ac:dyDescent="0.25">
      <c r="A119">
        <v>1568</v>
      </c>
      <c r="B119" s="2">
        <v>859.4</v>
      </c>
      <c r="C119">
        <v>0.2</v>
      </c>
      <c r="D119">
        <v>16</v>
      </c>
      <c r="E119" s="3">
        <f t="shared" si="6"/>
        <v>3.2</v>
      </c>
      <c r="F119" s="1">
        <v>0.29029887999999998</v>
      </c>
      <c r="G119" s="3">
        <v>90.718399999999988</v>
      </c>
      <c r="H119">
        <f t="shared" si="4"/>
        <v>2.8478320128000001</v>
      </c>
    </row>
    <row r="120" spans="1:8" x14ac:dyDescent="0.25">
      <c r="A120">
        <v>1572</v>
      </c>
      <c r="B120" s="2">
        <v>906.13</v>
      </c>
      <c r="C120">
        <v>0.3</v>
      </c>
      <c r="D120">
        <v>16</v>
      </c>
      <c r="E120" s="3">
        <f t="shared" si="6"/>
        <v>4.8</v>
      </c>
      <c r="F120" s="1">
        <v>0.32205032</v>
      </c>
      <c r="G120" s="3">
        <v>67.093816666666669</v>
      </c>
      <c r="H120">
        <f t="shared" si="4"/>
        <v>3.1593136392000001</v>
      </c>
    </row>
    <row r="121" spans="1:8" x14ac:dyDescent="0.25">
      <c r="A121">
        <v>1576</v>
      </c>
      <c r="B121" s="2">
        <v>961.53</v>
      </c>
      <c r="C121">
        <v>0.4</v>
      </c>
      <c r="D121">
        <v>16</v>
      </c>
      <c r="E121" s="3">
        <f t="shared" si="6"/>
        <v>6.4</v>
      </c>
      <c r="F121" s="1">
        <v>0.35833767999999999</v>
      </c>
      <c r="G121" s="3">
        <v>55.990262499999993</v>
      </c>
      <c r="H121">
        <f t="shared" si="4"/>
        <v>3.5152926408000003</v>
      </c>
    </row>
    <row r="122" spans="1:8" x14ac:dyDescent="0.25">
      <c r="A122">
        <v>1580</v>
      </c>
      <c r="B122" s="2">
        <v>1007.38</v>
      </c>
      <c r="C122">
        <v>0.4</v>
      </c>
      <c r="D122">
        <v>16</v>
      </c>
      <c r="E122" s="3">
        <f t="shared" si="6"/>
        <v>6.4</v>
      </c>
      <c r="F122" s="1">
        <v>0.39916096000000001</v>
      </c>
      <c r="G122" s="3">
        <v>62.368899999999996</v>
      </c>
      <c r="H122">
        <f t="shared" si="4"/>
        <v>3.9157690176000002</v>
      </c>
    </row>
    <row r="123" spans="1:8" x14ac:dyDescent="0.25">
      <c r="A123">
        <v>1584</v>
      </c>
      <c r="B123" s="2">
        <v>1056.6600000000001</v>
      </c>
      <c r="C123">
        <v>0.5</v>
      </c>
      <c r="D123">
        <v>16</v>
      </c>
      <c r="E123" s="3">
        <f t="shared" si="6"/>
        <v>8</v>
      </c>
      <c r="F123" s="1">
        <v>0.43544832</v>
      </c>
      <c r="G123" s="3">
        <v>54.431039999999996</v>
      </c>
      <c r="H123">
        <f t="shared" si="4"/>
        <v>4.2717480192000004</v>
      </c>
    </row>
    <row r="124" spans="1:8" x14ac:dyDescent="0.25">
      <c r="A124">
        <v>1588</v>
      </c>
      <c r="B124" s="2">
        <v>1104.32</v>
      </c>
      <c r="C124">
        <v>0.5</v>
      </c>
      <c r="D124">
        <v>16</v>
      </c>
      <c r="E124" s="3">
        <f t="shared" si="6"/>
        <v>8</v>
      </c>
      <c r="F124" s="1">
        <v>0.47173567999999999</v>
      </c>
      <c r="G124" s="3">
        <v>58.96696</v>
      </c>
      <c r="H124">
        <f t="shared" si="4"/>
        <v>4.6277270208000001</v>
      </c>
    </row>
    <row r="125" spans="1:8" x14ac:dyDescent="0.25">
      <c r="A125">
        <v>1592</v>
      </c>
      <c r="B125" s="2">
        <v>1147.5</v>
      </c>
      <c r="C125">
        <v>0.6</v>
      </c>
      <c r="D125">
        <v>16</v>
      </c>
      <c r="E125" s="3">
        <f t="shared" si="6"/>
        <v>9.6</v>
      </c>
      <c r="F125" s="1">
        <v>0.5125589599999999</v>
      </c>
      <c r="G125" s="3">
        <v>53.391558333333329</v>
      </c>
      <c r="H125">
        <f t="shared" si="4"/>
        <v>5.0282033975999996</v>
      </c>
    </row>
    <row r="126" spans="1:8" x14ac:dyDescent="0.25">
      <c r="A126">
        <v>1596</v>
      </c>
      <c r="B126" s="2">
        <v>1194.6099999999999</v>
      </c>
      <c r="C126">
        <v>0.7</v>
      </c>
      <c r="D126">
        <v>16</v>
      </c>
      <c r="E126" s="3">
        <f t="shared" si="6"/>
        <v>11.2</v>
      </c>
      <c r="F126" s="1">
        <v>0.55791815999999994</v>
      </c>
      <c r="G126" s="3">
        <v>49.814121428571426</v>
      </c>
      <c r="H126">
        <f t="shared" si="4"/>
        <v>5.4731771495999997</v>
      </c>
    </row>
    <row r="127" spans="1:8" x14ac:dyDescent="0.25">
      <c r="A127">
        <v>1600</v>
      </c>
      <c r="B127" s="2">
        <v>1237.07</v>
      </c>
      <c r="C127">
        <v>0.8</v>
      </c>
      <c r="D127">
        <v>16</v>
      </c>
      <c r="E127" s="3">
        <f t="shared" si="6"/>
        <v>12.8</v>
      </c>
      <c r="F127" s="1">
        <v>0.60327735999999998</v>
      </c>
      <c r="G127" s="3">
        <v>47.131043750000003</v>
      </c>
      <c r="H127">
        <f t="shared" si="4"/>
        <v>5.9181509015999998</v>
      </c>
    </row>
    <row r="128" spans="1:8" x14ac:dyDescent="0.25">
      <c r="A128">
        <v>1604</v>
      </c>
      <c r="B128" s="2">
        <v>1278.8900000000001</v>
      </c>
      <c r="C128">
        <v>0.8</v>
      </c>
      <c r="D128">
        <v>16</v>
      </c>
      <c r="E128" s="3">
        <f t="shared" si="6"/>
        <v>12.8</v>
      </c>
      <c r="F128" s="1">
        <v>0.63956471999999998</v>
      </c>
      <c r="G128" s="3">
        <v>49.965993749999996</v>
      </c>
      <c r="H128">
        <f t="shared" si="4"/>
        <v>6.2741299032000004</v>
      </c>
    </row>
    <row r="129" spans="1:8" x14ac:dyDescent="0.25">
      <c r="A129">
        <v>1608</v>
      </c>
      <c r="B129" s="2">
        <v>1319.08</v>
      </c>
      <c r="C129">
        <v>0.9</v>
      </c>
      <c r="D129">
        <v>16</v>
      </c>
      <c r="E129" s="3">
        <f t="shared" si="6"/>
        <v>14.4</v>
      </c>
      <c r="F129" s="1">
        <v>0.68038799999999999</v>
      </c>
      <c r="G129" s="3">
        <v>47.24916666666666</v>
      </c>
      <c r="H129">
        <f t="shared" si="4"/>
        <v>6.6746062799999999</v>
      </c>
    </row>
    <row r="130" spans="1:8" x14ac:dyDescent="0.25">
      <c r="A130">
        <v>1612</v>
      </c>
      <c r="B130" s="2">
        <v>1359.21</v>
      </c>
      <c r="C130">
        <v>1</v>
      </c>
      <c r="D130">
        <v>16</v>
      </c>
      <c r="E130" s="3">
        <f t="shared" si="6"/>
        <v>16</v>
      </c>
      <c r="F130" s="1">
        <v>0.72121128000000001</v>
      </c>
      <c r="G130" s="3">
        <v>45.075704999999999</v>
      </c>
      <c r="H130">
        <f t="shared" si="4"/>
        <v>7.0750826568000003</v>
      </c>
    </row>
    <row r="131" spans="1:8" x14ac:dyDescent="0.25">
      <c r="A131">
        <v>1616</v>
      </c>
      <c r="B131" s="2">
        <v>1408.65</v>
      </c>
      <c r="C131">
        <v>1.1000000000000001</v>
      </c>
      <c r="D131">
        <v>16</v>
      </c>
      <c r="E131" s="3">
        <f t="shared" si="6"/>
        <v>17.600000000000001</v>
      </c>
      <c r="F131" s="1">
        <v>0.77564232</v>
      </c>
      <c r="G131" s="3">
        <v>44.070586363636359</v>
      </c>
      <c r="H131">
        <f t="shared" ref="H131:H194" si="7">F131*9.81</f>
        <v>7.6090511592000007</v>
      </c>
    </row>
    <row r="132" spans="1:8" x14ac:dyDescent="0.25">
      <c r="A132">
        <v>1620</v>
      </c>
      <c r="B132" s="2">
        <v>1443.5</v>
      </c>
      <c r="C132">
        <v>1.2</v>
      </c>
      <c r="D132">
        <v>16</v>
      </c>
      <c r="E132" s="3">
        <f t="shared" si="6"/>
        <v>19.2</v>
      </c>
      <c r="F132" s="1">
        <v>0.81646560000000001</v>
      </c>
      <c r="G132" s="3">
        <v>42.524250000000002</v>
      </c>
      <c r="H132">
        <f t="shared" si="7"/>
        <v>8.0095275360000002</v>
      </c>
    </row>
    <row r="133" spans="1:8" x14ac:dyDescent="0.25">
      <c r="A133">
        <v>1624</v>
      </c>
      <c r="B133" s="2">
        <v>1479.63</v>
      </c>
      <c r="C133">
        <v>1.3</v>
      </c>
      <c r="D133">
        <v>16</v>
      </c>
      <c r="E133" s="3">
        <f t="shared" si="6"/>
        <v>20.8</v>
      </c>
      <c r="F133" s="1">
        <v>0.87089664</v>
      </c>
      <c r="G133" s="3">
        <v>41.870030769230766</v>
      </c>
      <c r="H133">
        <f t="shared" si="7"/>
        <v>8.5434960384000007</v>
      </c>
    </row>
    <row r="134" spans="1:8" x14ac:dyDescent="0.25">
      <c r="A134">
        <v>1628</v>
      </c>
      <c r="B134" s="2">
        <v>1516.03</v>
      </c>
      <c r="C134">
        <v>1.45</v>
      </c>
      <c r="D134">
        <v>16</v>
      </c>
      <c r="E134" s="3">
        <f t="shared" si="6"/>
        <v>23.2</v>
      </c>
      <c r="F134" s="1">
        <v>0.90718399999999999</v>
      </c>
      <c r="G134" s="3">
        <v>39.102758620689656</v>
      </c>
      <c r="H134">
        <f t="shared" si="7"/>
        <v>8.8994750400000004</v>
      </c>
    </row>
    <row r="135" spans="1:8" x14ac:dyDescent="0.25">
      <c r="A135">
        <v>1632</v>
      </c>
      <c r="B135" s="2">
        <v>1548.64</v>
      </c>
      <c r="C135">
        <v>1.5</v>
      </c>
      <c r="D135">
        <v>16</v>
      </c>
      <c r="E135" s="3">
        <f t="shared" si="6"/>
        <v>24</v>
      </c>
      <c r="F135" s="1">
        <v>0.9480072799999999</v>
      </c>
      <c r="G135" s="3">
        <v>39.500303333333328</v>
      </c>
      <c r="H135">
        <f t="shared" si="7"/>
        <v>9.299951416799999</v>
      </c>
    </row>
    <row r="136" spans="1:8" x14ac:dyDescent="0.25">
      <c r="A136">
        <v>1636</v>
      </c>
      <c r="B136" s="2">
        <v>1583.02</v>
      </c>
      <c r="C136">
        <v>1.6</v>
      </c>
      <c r="D136">
        <v>16</v>
      </c>
      <c r="E136" s="3">
        <f t="shared" si="6"/>
        <v>25.6</v>
      </c>
      <c r="F136" s="1">
        <v>0.99336647999999994</v>
      </c>
      <c r="G136" s="3">
        <v>38.803378124999995</v>
      </c>
      <c r="H136">
        <f t="shared" si="7"/>
        <v>9.7449251688</v>
      </c>
    </row>
    <row r="137" spans="1:8" x14ac:dyDescent="0.25">
      <c r="A137">
        <v>1640</v>
      </c>
      <c r="B137" s="2">
        <v>1628.86</v>
      </c>
      <c r="C137">
        <v>1.8</v>
      </c>
      <c r="D137">
        <v>16</v>
      </c>
      <c r="E137" s="3">
        <f t="shared" si="6"/>
        <v>28.8</v>
      </c>
      <c r="F137" s="1">
        <v>1.0341897599999998</v>
      </c>
      <c r="G137" s="3">
        <v>35.909366666666664</v>
      </c>
      <c r="H137">
        <f t="shared" si="7"/>
        <v>10.145401545599999</v>
      </c>
    </row>
    <row r="138" spans="1:8" x14ac:dyDescent="0.25">
      <c r="A138">
        <v>1644</v>
      </c>
      <c r="B138" s="2">
        <v>1668.42</v>
      </c>
      <c r="C138">
        <v>2</v>
      </c>
      <c r="D138">
        <v>16</v>
      </c>
      <c r="E138" s="3">
        <f t="shared" si="6"/>
        <v>32</v>
      </c>
      <c r="F138" s="1">
        <v>1.09769264</v>
      </c>
      <c r="G138" s="3">
        <v>34.302894999999999</v>
      </c>
      <c r="H138">
        <f t="shared" si="7"/>
        <v>10.7683647984</v>
      </c>
    </row>
    <row r="139" spans="1:8" x14ac:dyDescent="0.25">
      <c r="A139">
        <v>1648</v>
      </c>
      <c r="B139" s="2">
        <v>1699.09</v>
      </c>
      <c r="C139">
        <v>2.1</v>
      </c>
      <c r="D139">
        <v>16</v>
      </c>
      <c r="E139" s="3">
        <f t="shared" si="6"/>
        <v>33.6</v>
      </c>
      <c r="F139" s="1">
        <v>1.14305184</v>
      </c>
      <c r="G139" s="3">
        <v>34.019399999999997</v>
      </c>
      <c r="H139">
        <f t="shared" si="7"/>
        <v>11.213338550400001</v>
      </c>
    </row>
    <row r="140" spans="1:8" x14ac:dyDescent="0.25">
      <c r="A140">
        <v>1652</v>
      </c>
      <c r="B140" s="2">
        <v>1739.95</v>
      </c>
      <c r="C140">
        <v>2.2000000000000002</v>
      </c>
      <c r="D140">
        <v>16</v>
      </c>
      <c r="E140" s="3">
        <f t="shared" si="6"/>
        <v>35.200000000000003</v>
      </c>
      <c r="F140" s="1">
        <v>1.1838751199999999</v>
      </c>
      <c r="G140" s="3">
        <v>33.632815909090901</v>
      </c>
      <c r="H140">
        <f t="shared" si="7"/>
        <v>11.6138149272</v>
      </c>
    </row>
    <row r="141" spans="1:8" x14ac:dyDescent="0.25">
      <c r="A141">
        <v>1656</v>
      </c>
      <c r="B141" s="2">
        <v>1766.18</v>
      </c>
      <c r="C141">
        <v>2.4</v>
      </c>
      <c r="D141">
        <v>16</v>
      </c>
      <c r="E141" s="3">
        <f t="shared" si="6"/>
        <v>38.4</v>
      </c>
      <c r="F141" s="1">
        <v>1.23830616</v>
      </c>
      <c r="G141" s="3">
        <v>32.247556249999995</v>
      </c>
      <c r="H141">
        <f t="shared" si="7"/>
        <v>12.1477834296</v>
      </c>
    </row>
    <row r="142" spans="1:8" x14ac:dyDescent="0.25">
      <c r="A142">
        <v>1660</v>
      </c>
      <c r="B142" s="2">
        <v>1802.32</v>
      </c>
      <c r="C142">
        <v>2.6</v>
      </c>
      <c r="D142">
        <v>16</v>
      </c>
      <c r="E142" s="3">
        <f t="shared" si="6"/>
        <v>41.6</v>
      </c>
      <c r="F142" s="1">
        <v>1.27912944</v>
      </c>
      <c r="G142" s="3">
        <v>30.748303846153842</v>
      </c>
      <c r="H142">
        <f t="shared" si="7"/>
        <v>12.548259806400001</v>
      </c>
    </row>
    <row r="143" spans="1:8" x14ac:dyDescent="0.25">
      <c r="A143">
        <v>1664</v>
      </c>
      <c r="B143" s="2">
        <v>1835.1</v>
      </c>
      <c r="C143">
        <v>2.8</v>
      </c>
      <c r="D143">
        <v>16</v>
      </c>
      <c r="E143" s="3">
        <f t="shared" si="6"/>
        <v>44.8</v>
      </c>
      <c r="F143" s="1">
        <v>1.3290245600000001</v>
      </c>
      <c r="G143" s="3">
        <v>29.665726785714288</v>
      </c>
      <c r="H143">
        <f t="shared" si="7"/>
        <v>13.037730933600002</v>
      </c>
    </row>
    <row r="144" spans="1:8" x14ac:dyDescent="0.25">
      <c r="A144">
        <v>1668</v>
      </c>
      <c r="B144" s="2">
        <v>1865.47</v>
      </c>
      <c r="C144">
        <v>2.9</v>
      </c>
      <c r="D144">
        <v>16</v>
      </c>
      <c r="E144" s="3">
        <f t="shared" si="6"/>
        <v>46.4</v>
      </c>
      <c r="F144" s="1">
        <v>1.3879915199999999</v>
      </c>
      <c r="G144" s="3">
        <v>29.913610344827589</v>
      </c>
      <c r="H144">
        <f t="shared" si="7"/>
        <v>13.6161968112</v>
      </c>
    </row>
    <row r="145" spans="1:8" x14ac:dyDescent="0.25">
      <c r="A145">
        <v>1672</v>
      </c>
      <c r="B145" s="2">
        <v>1900.85</v>
      </c>
      <c r="C145">
        <v>3.1</v>
      </c>
      <c r="D145">
        <v>16</v>
      </c>
      <c r="E145" s="3">
        <f t="shared" si="6"/>
        <v>49.6</v>
      </c>
      <c r="F145" s="1">
        <v>1.4378866399999999</v>
      </c>
      <c r="G145" s="3">
        <v>28.989649999999997</v>
      </c>
      <c r="H145">
        <f t="shared" si="7"/>
        <v>14.1056679384</v>
      </c>
    </row>
    <row r="146" spans="1:8" x14ac:dyDescent="0.25">
      <c r="A146">
        <v>1676</v>
      </c>
      <c r="B146" s="2">
        <v>1929.78</v>
      </c>
      <c r="C146">
        <v>3.3</v>
      </c>
      <c r="D146">
        <v>16</v>
      </c>
      <c r="E146" s="3">
        <f t="shared" si="6"/>
        <v>52.8</v>
      </c>
      <c r="F146" s="1">
        <v>1.4832458399999999</v>
      </c>
      <c r="G146" s="3">
        <v>28.091777272727274</v>
      </c>
      <c r="H146">
        <f t="shared" si="7"/>
        <v>14.550641690400001</v>
      </c>
    </row>
    <row r="147" spans="1:8" x14ac:dyDescent="0.25">
      <c r="A147">
        <v>1680</v>
      </c>
      <c r="B147" s="2">
        <v>1960.82</v>
      </c>
      <c r="C147">
        <v>3.5</v>
      </c>
      <c r="D147">
        <v>16</v>
      </c>
      <c r="E147" s="3">
        <f t="shared" si="6"/>
        <v>56</v>
      </c>
      <c r="F147" s="1">
        <v>1.53767688</v>
      </c>
      <c r="G147" s="3">
        <v>27.458515714285713</v>
      </c>
      <c r="H147">
        <f t="shared" si="7"/>
        <v>15.084610192800001</v>
      </c>
    </row>
    <row r="148" spans="1:8" x14ac:dyDescent="0.25">
      <c r="A148">
        <v>1684</v>
      </c>
      <c r="B148" s="2">
        <v>1994.08</v>
      </c>
      <c r="C148">
        <v>3.7</v>
      </c>
      <c r="D148">
        <v>16</v>
      </c>
      <c r="E148" s="3">
        <f t="shared" si="6"/>
        <v>59.2</v>
      </c>
      <c r="F148" s="1">
        <v>1.587572</v>
      </c>
      <c r="G148" s="3">
        <v>26.817094594594593</v>
      </c>
      <c r="H148">
        <f t="shared" si="7"/>
        <v>15.574081320000001</v>
      </c>
    </row>
    <row r="149" spans="1:8" x14ac:dyDescent="0.25">
      <c r="A149">
        <v>1688</v>
      </c>
      <c r="B149" s="2">
        <v>2030.99</v>
      </c>
      <c r="C149">
        <v>3.9</v>
      </c>
      <c r="D149">
        <v>16</v>
      </c>
      <c r="E149" s="3">
        <f t="shared" si="6"/>
        <v>62.4</v>
      </c>
      <c r="F149" s="1">
        <v>1.6510748800000001</v>
      </c>
      <c r="G149" s="3">
        <v>26.459533333333333</v>
      </c>
      <c r="H149">
        <f t="shared" si="7"/>
        <v>16.197044572800003</v>
      </c>
    </row>
    <row r="150" spans="1:8" x14ac:dyDescent="0.25">
      <c r="A150">
        <v>1692</v>
      </c>
      <c r="B150" s="2">
        <v>2071.37</v>
      </c>
      <c r="C150">
        <v>4.0999999999999996</v>
      </c>
      <c r="D150">
        <v>16</v>
      </c>
      <c r="E150" s="3">
        <f t="shared" si="6"/>
        <v>65.599999999999994</v>
      </c>
      <c r="F150" s="1">
        <v>1.69189816</v>
      </c>
      <c r="G150" s="3">
        <v>25.791130487804878</v>
      </c>
      <c r="H150">
        <f t="shared" si="7"/>
        <v>16.5975209496</v>
      </c>
    </row>
    <row r="151" spans="1:8" x14ac:dyDescent="0.25">
      <c r="A151">
        <v>1696</v>
      </c>
      <c r="B151" s="2">
        <v>2106.2800000000002</v>
      </c>
      <c r="C151">
        <v>4.3</v>
      </c>
      <c r="D151">
        <v>16</v>
      </c>
      <c r="E151" s="3">
        <f t="shared" si="6"/>
        <v>68.8</v>
      </c>
      <c r="F151" s="1">
        <v>1.7599369599999999</v>
      </c>
      <c r="G151" s="3">
        <v>25.580479069767442</v>
      </c>
      <c r="H151">
        <f t="shared" si="7"/>
        <v>17.2649815776</v>
      </c>
    </row>
    <row r="152" spans="1:8" x14ac:dyDescent="0.25">
      <c r="A152">
        <v>1700</v>
      </c>
      <c r="B152" s="2">
        <v>2128.6999999999998</v>
      </c>
      <c r="C152">
        <v>4.58</v>
      </c>
      <c r="D152">
        <v>16</v>
      </c>
      <c r="E152" s="3">
        <f t="shared" si="6"/>
        <v>73.28</v>
      </c>
      <c r="F152" s="1">
        <v>1.8234398400000003</v>
      </c>
      <c r="G152" s="3">
        <v>24.883185589519652</v>
      </c>
      <c r="H152">
        <f t="shared" si="7"/>
        <v>17.887944830400002</v>
      </c>
    </row>
    <row r="153" spans="1:8" x14ac:dyDescent="0.25">
      <c r="A153">
        <v>1704</v>
      </c>
      <c r="B153" s="2">
        <v>2160.39</v>
      </c>
      <c r="C153">
        <v>4.7</v>
      </c>
      <c r="D153">
        <v>16</v>
      </c>
      <c r="E153" s="3">
        <f t="shared" si="6"/>
        <v>75.2</v>
      </c>
      <c r="F153" s="1">
        <v>1.8778708800000001</v>
      </c>
      <c r="G153" s="3">
        <v>24.971687234042555</v>
      </c>
      <c r="H153">
        <f t="shared" si="7"/>
        <v>18.421913332800003</v>
      </c>
    </row>
    <row r="154" spans="1:8" x14ac:dyDescent="0.25">
      <c r="A154">
        <v>1708</v>
      </c>
      <c r="B154" s="2">
        <v>2189.6</v>
      </c>
      <c r="C154">
        <v>5</v>
      </c>
      <c r="D154">
        <v>16</v>
      </c>
      <c r="E154" s="3">
        <f t="shared" si="6"/>
        <v>80</v>
      </c>
      <c r="F154" s="1">
        <v>1.9323019200000002</v>
      </c>
      <c r="G154" s="3">
        <v>24.153774000000006</v>
      </c>
      <c r="H154">
        <f t="shared" si="7"/>
        <v>18.955881835200003</v>
      </c>
    </row>
    <row r="155" spans="1:8" x14ac:dyDescent="0.25">
      <c r="A155">
        <v>1712</v>
      </c>
      <c r="B155" s="2">
        <v>2219.1799999999998</v>
      </c>
      <c r="C155">
        <v>5.2</v>
      </c>
      <c r="D155">
        <v>16</v>
      </c>
      <c r="E155" s="3">
        <f t="shared" si="6"/>
        <v>83.2</v>
      </c>
      <c r="F155" s="1">
        <v>1.9912688800000002</v>
      </c>
      <c r="G155" s="3">
        <v>23.933520192307693</v>
      </c>
      <c r="H155">
        <f t="shared" si="7"/>
        <v>19.534347712800002</v>
      </c>
    </row>
    <row r="156" spans="1:8" x14ac:dyDescent="0.25">
      <c r="A156">
        <v>1716</v>
      </c>
      <c r="B156" s="2">
        <v>2243.7600000000002</v>
      </c>
      <c r="C156">
        <v>5.42</v>
      </c>
      <c r="D156">
        <v>16</v>
      </c>
      <c r="E156" s="3">
        <f t="shared" si="6"/>
        <v>86.72</v>
      </c>
      <c r="F156" s="1">
        <v>2.0456999200000001</v>
      </c>
      <c r="G156" s="3">
        <v>23.589713099630998</v>
      </c>
      <c r="H156">
        <f t="shared" si="7"/>
        <v>20.068316215200003</v>
      </c>
    </row>
    <row r="157" spans="1:8" x14ac:dyDescent="0.25">
      <c r="A157">
        <v>1720</v>
      </c>
      <c r="B157" s="2">
        <v>2266.35</v>
      </c>
      <c r="C157">
        <v>5.69</v>
      </c>
      <c r="D157">
        <v>16</v>
      </c>
      <c r="E157" s="3">
        <f t="shared" si="6"/>
        <v>91.04</v>
      </c>
      <c r="F157" s="1">
        <v>2.1228105600000005</v>
      </c>
      <c r="G157" s="3">
        <v>23.317339191564148</v>
      </c>
      <c r="H157">
        <f t="shared" si="7"/>
        <v>20.824771593600005</v>
      </c>
    </row>
    <row r="158" spans="1:8" x14ac:dyDescent="0.25">
      <c r="A158">
        <v>1724</v>
      </c>
      <c r="B158" s="2">
        <v>2305.35</v>
      </c>
      <c r="C158">
        <v>5.9</v>
      </c>
      <c r="D158">
        <v>16</v>
      </c>
      <c r="E158" s="3">
        <f t="shared" si="6"/>
        <v>94.4</v>
      </c>
      <c r="F158" s="1">
        <v>2.1772416000000003</v>
      </c>
      <c r="G158" s="3">
        <v>23.064</v>
      </c>
      <c r="H158">
        <f t="shared" si="7"/>
        <v>21.358740096000005</v>
      </c>
    </row>
    <row r="159" spans="1:8" x14ac:dyDescent="0.25">
      <c r="A159">
        <v>1728</v>
      </c>
      <c r="B159" s="2">
        <v>2341.59</v>
      </c>
      <c r="C159">
        <v>6.19</v>
      </c>
      <c r="D159">
        <v>16</v>
      </c>
      <c r="E159" s="3">
        <f t="shared" si="6"/>
        <v>99.04</v>
      </c>
      <c r="F159" s="1">
        <v>2.21806488</v>
      </c>
      <c r="G159" s="3">
        <v>22.395647011308565</v>
      </c>
      <c r="H159">
        <f t="shared" si="7"/>
        <v>21.759216472800002</v>
      </c>
    </row>
    <row r="160" spans="1:8" x14ac:dyDescent="0.25">
      <c r="A160">
        <v>1732</v>
      </c>
      <c r="B160" s="2">
        <v>2391.8000000000002</v>
      </c>
      <c r="C160">
        <v>6.4</v>
      </c>
      <c r="D160">
        <v>16</v>
      </c>
      <c r="E160" s="3">
        <f t="shared" si="6"/>
        <v>102.4</v>
      </c>
      <c r="F160" s="1">
        <v>2.2770318400000003</v>
      </c>
      <c r="G160" s="3">
        <v>22.2366390625</v>
      </c>
      <c r="H160">
        <f t="shared" si="7"/>
        <v>22.337682350400005</v>
      </c>
    </row>
    <row r="161" spans="1:8" x14ac:dyDescent="0.25">
      <c r="A161">
        <v>1736</v>
      </c>
      <c r="B161" s="2">
        <v>2415.81</v>
      </c>
      <c r="C161">
        <v>6.7</v>
      </c>
      <c r="D161">
        <v>16</v>
      </c>
      <c r="E161" s="3">
        <f t="shared" si="6"/>
        <v>107.2</v>
      </c>
      <c r="F161" s="1">
        <v>2.3813580000000001</v>
      </c>
      <c r="G161" s="3">
        <v>22.214160447761191</v>
      </c>
      <c r="H161">
        <f t="shared" si="7"/>
        <v>23.361121980000004</v>
      </c>
    </row>
    <row r="162" spans="1:8" x14ac:dyDescent="0.25">
      <c r="A162">
        <v>1740</v>
      </c>
      <c r="B162" s="2">
        <v>2445.98</v>
      </c>
      <c r="C162">
        <v>7</v>
      </c>
      <c r="D162">
        <v>16</v>
      </c>
      <c r="E162" s="3">
        <f t="shared" si="6"/>
        <v>112</v>
      </c>
      <c r="F162" s="1">
        <v>2.43125312</v>
      </c>
      <c r="G162" s="3">
        <v>21.707617142857142</v>
      </c>
      <c r="H162">
        <f t="shared" si="7"/>
        <v>23.850593107200002</v>
      </c>
    </row>
    <row r="163" spans="1:8" x14ac:dyDescent="0.25">
      <c r="A163">
        <v>1744</v>
      </c>
      <c r="B163" s="2">
        <v>2475.13</v>
      </c>
      <c r="C163">
        <v>7.4</v>
      </c>
      <c r="D163">
        <v>16</v>
      </c>
      <c r="E163" s="3">
        <f t="shared" si="6"/>
        <v>118.4</v>
      </c>
      <c r="F163" s="1">
        <v>2.5174356000000002</v>
      </c>
      <c r="G163" s="3">
        <v>21.262125000000001</v>
      </c>
      <c r="H163">
        <f t="shared" si="7"/>
        <v>24.696043236000005</v>
      </c>
    </row>
    <row r="164" spans="1:8" x14ac:dyDescent="0.25">
      <c r="A164">
        <v>1748</v>
      </c>
      <c r="B164" s="2">
        <v>2497.91</v>
      </c>
      <c r="C164">
        <v>7.7</v>
      </c>
      <c r="D164">
        <v>16</v>
      </c>
      <c r="E164" s="3">
        <f t="shared" si="6"/>
        <v>123.2</v>
      </c>
      <c r="F164" s="1">
        <v>2.5764025600000005</v>
      </c>
      <c r="G164" s="3">
        <v>20.912358441558442</v>
      </c>
      <c r="H164">
        <f t="shared" si="7"/>
        <v>25.274509113600004</v>
      </c>
    </row>
    <row r="165" spans="1:8" x14ac:dyDescent="0.25">
      <c r="A165">
        <v>1752</v>
      </c>
      <c r="B165" s="2">
        <v>2537.88</v>
      </c>
      <c r="C165">
        <v>8.0399999999999991</v>
      </c>
      <c r="D165">
        <v>16</v>
      </c>
      <c r="E165" s="3">
        <f t="shared" si="6"/>
        <v>128.63999999999999</v>
      </c>
      <c r="F165" s="1">
        <v>2.6535132000000003</v>
      </c>
      <c r="G165" s="3">
        <v>20.627434701492543</v>
      </c>
      <c r="H165">
        <f t="shared" si="7"/>
        <v>26.030964492000006</v>
      </c>
    </row>
    <row r="166" spans="1:8" x14ac:dyDescent="0.25">
      <c r="A166">
        <v>1756</v>
      </c>
      <c r="B166" s="2">
        <v>2583.5100000000002</v>
      </c>
      <c r="C166">
        <v>8.4</v>
      </c>
      <c r="D166">
        <v>16</v>
      </c>
      <c r="E166" s="3">
        <f t="shared" si="6"/>
        <v>134.4</v>
      </c>
      <c r="F166" s="1">
        <v>2.7306238400000002</v>
      </c>
      <c r="G166" s="3">
        <v>20.317141666666668</v>
      </c>
      <c r="H166">
        <f t="shared" si="7"/>
        <v>26.787419870400004</v>
      </c>
    </row>
    <row r="167" spans="1:8" x14ac:dyDescent="0.25">
      <c r="A167">
        <v>1760</v>
      </c>
      <c r="B167" s="2">
        <v>2608.66</v>
      </c>
      <c r="C167">
        <v>8.6999999999999993</v>
      </c>
      <c r="D167">
        <v>16</v>
      </c>
      <c r="E167" s="3">
        <f t="shared" ref="E167:E201" si="8">C167*D167</f>
        <v>139.19999999999999</v>
      </c>
      <c r="F167" s="1">
        <v>2.7578393600000002</v>
      </c>
      <c r="G167" s="3">
        <v>19.812064367816092</v>
      </c>
      <c r="H167">
        <f t="shared" si="7"/>
        <v>27.054404121600005</v>
      </c>
    </row>
    <row r="168" spans="1:8" x14ac:dyDescent="0.25">
      <c r="A168">
        <v>1764</v>
      </c>
      <c r="B168" s="2">
        <v>2639.26</v>
      </c>
      <c r="C168">
        <v>9.0299999999999994</v>
      </c>
      <c r="D168">
        <v>16</v>
      </c>
      <c r="E168" s="3">
        <f t="shared" si="8"/>
        <v>144.47999999999999</v>
      </c>
      <c r="F168" s="1">
        <v>2.8394859200000004</v>
      </c>
      <c r="G168" s="3">
        <v>19.653141749723147</v>
      </c>
      <c r="H168">
        <f t="shared" si="7"/>
        <v>27.855356875200005</v>
      </c>
    </row>
    <row r="169" spans="1:8" x14ac:dyDescent="0.25">
      <c r="A169">
        <v>1768</v>
      </c>
      <c r="B169" s="2">
        <v>2663.25</v>
      </c>
      <c r="C169">
        <v>9.34</v>
      </c>
      <c r="D169">
        <v>16</v>
      </c>
      <c r="E169" s="3">
        <f t="shared" si="8"/>
        <v>149.44</v>
      </c>
      <c r="F169" s="1">
        <v>2.88938104</v>
      </c>
      <c r="G169" s="3">
        <v>19.334723233404709</v>
      </c>
      <c r="H169">
        <f t="shared" si="7"/>
        <v>28.3448280024</v>
      </c>
    </row>
    <row r="170" spans="1:8" x14ac:dyDescent="0.25">
      <c r="A170">
        <v>1772</v>
      </c>
      <c r="B170" s="2">
        <v>2688.12</v>
      </c>
      <c r="C170">
        <v>9.69</v>
      </c>
      <c r="D170">
        <v>16</v>
      </c>
      <c r="E170" s="3">
        <f t="shared" si="8"/>
        <v>155.04</v>
      </c>
      <c r="F170" s="1">
        <v>2.9755635200000001</v>
      </c>
      <c r="G170" s="3">
        <v>19.192231166150673</v>
      </c>
      <c r="H170">
        <f t="shared" si="7"/>
        <v>29.190278131200003</v>
      </c>
    </row>
    <row r="171" spans="1:8" x14ac:dyDescent="0.25">
      <c r="A171">
        <v>1776</v>
      </c>
      <c r="B171" s="2">
        <v>2710.8</v>
      </c>
      <c r="C171">
        <v>10.01</v>
      </c>
      <c r="D171">
        <v>16</v>
      </c>
      <c r="E171" s="3">
        <f t="shared" si="8"/>
        <v>160.16</v>
      </c>
      <c r="F171" s="1">
        <v>3.05267416</v>
      </c>
      <c r="G171" s="3">
        <v>19.060153346653347</v>
      </c>
      <c r="H171">
        <f t="shared" si="7"/>
        <v>29.946733509600001</v>
      </c>
    </row>
    <row r="172" spans="1:8" x14ac:dyDescent="0.25">
      <c r="A172">
        <v>1780</v>
      </c>
      <c r="B172" s="2">
        <v>2735.48</v>
      </c>
      <c r="C172">
        <v>10.4</v>
      </c>
      <c r="D172">
        <v>16</v>
      </c>
      <c r="E172" s="3">
        <f t="shared" si="8"/>
        <v>166.4</v>
      </c>
      <c r="F172" s="1">
        <v>3.1071052000000003</v>
      </c>
      <c r="G172" s="3">
        <v>18.672507211538459</v>
      </c>
      <c r="H172">
        <f t="shared" si="7"/>
        <v>30.480702012000005</v>
      </c>
    </row>
    <row r="173" spans="1:8" x14ac:dyDescent="0.25">
      <c r="A173">
        <v>1784</v>
      </c>
      <c r="B173" s="2">
        <v>2765.9</v>
      </c>
      <c r="C173">
        <v>10.68</v>
      </c>
      <c r="D173">
        <v>16</v>
      </c>
      <c r="E173" s="3">
        <f t="shared" si="8"/>
        <v>170.88</v>
      </c>
      <c r="F173" s="1">
        <v>3.1706080800000001</v>
      </c>
      <c r="G173" s="3">
        <v>18.554588483146066</v>
      </c>
      <c r="H173">
        <f t="shared" si="7"/>
        <v>31.103665264800004</v>
      </c>
    </row>
    <row r="174" spans="1:8" x14ac:dyDescent="0.25">
      <c r="A174">
        <v>1788</v>
      </c>
      <c r="B174" s="2">
        <v>2809.4</v>
      </c>
      <c r="C174">
        <v>10.9</v>
      </c>
      <c r="D174">
        <v>16</v>
      </c>
      <c r="E174" s="3">
        <f t="shared" si="8"/>
        <v>174.4</v>
      </c>
      <c r="F174" s="1">
        <v>3.2159672800000001</v>
      </c>
      <c r="G174" s="3">
        <v>18.440179357798165</v>
      </c>
      <c r="H174">
        <f t="shared" si="7"/>
        <v>31.548639016800003</v>
      </c>
    </row>
    <row r="175" spans="1:8" x14ac:dyDescent="0.25">
      <c r="A175">
        <v>1792</v>
      </c>
      <c r="B175" s="2">
        <v>2822.46</v>
      </c>
      <c r="C175">
        <v>11.3</v>
      </c>
      <c r="D175">
        <v>16</v>
      </c>
      <c r="E175" s="3">
        <f t="shared" si="8"/>
        <v>180.8</v>
      </c>
      <c r="F175" s="1">
        <v>3.3021497600000003</v>
      </c>
      <c r="G175" s="3">
        <v>18.264102654867255</v>
      </c>
      <c r="H175">
        <f t="shared" si="7"/>
        <v>32.394089145600006</v>
      </c>
    </row>
    <row r="176" spans="1:8" x14ac:dyDescent="0.25">
      <c r="A176">
        <v>1796</v>
      </c>
      <c r="B176" s="2">
        <v>2853.6</v>
      </c>
      <c r="C176">
        <v>11.64</v>
      </c>
      <c r="D176">
        <v>16</v>
      </c>
      <c r="E176" s="3">
        <f t="shared" si="8"/>
        <v>186.24</v>
      </c>
      <c r="F176" s="1">
        <v>3.3747244800000002</v>
      </c>
      <c r="G176" s="3">
        <v>18.120298969072163</v>
      </c>
      <c r="H176">
        <f t="shared" si="7"/>
        <v>33.106047148800002</v>
      </c>
    </row>
    <row r="177" spans="1:8" x14ac:dyDescent="0.25">
      <c r="A177">
        <v>1800</v>
      </c>
      <c r="B177" s="2">
        <v>2888</v>
      </c>
      <c r="C177">
        <v>11.93</v>
      </c>
      <c r="D177">
        <v>16</v>
      </c>
      <c r="E177" s="3">
        <f t="shared" si="8"/>
        <v>190.88</v>
      </c>
      <c r="F177" s="1">
        <v>3.4200836799999998</v>
      </c>
      <c r="G177" s="3">
        <v>17.917454316848282</v>
      </c>
      <c r="H177">
        <f t="shared" si="7"/>
        <v>33.551020900799998</v>
      </c>
    </row>
    <row r="178" spans="1:8" x14ac:dyDescent="0.25">
      <c r="A178">
        <v>1804</v>
      </c>
      <c r="B178" s="2">
        <v>2903.17</v>
      </c>
      <c r="C178">
        <v>12.38</v>
      </c>
      <c r="D178">
        <v>16</v>
      </c>
      <c r="E178" s="3">
        <f t="shared" si="8"/>
        <v>198.08</v>
      </c>
      <c r="F178" s="1">
        <v>3.5108020799999999</v>
      </c>
      <c r="G178" s="3">
        <v>17.724162358642971</v>
      </c>
      <c r="H178">
        <f t="shared" si="7"/>
        <v>34.440968404800003</v>
      </c>
    </row>
    <row r="179" spans="1:8" x14ac:dyDescent="0.25">
      <c r="A179">
        <v>1808</v>
      </c>
      <c r="B179" s="2">
        <v>2933.63</v>
      </c>
      <c r="C179">
        <v>12.79</v>
      </c>
      <c r="D179">
        <v>16</v>
      </c>
      <c r="E179" s="3">
        <f t="shared" si="8"/>
        <v>204.64</v>
      </c>
      <c r="F179" s="1">
        <v>3.6060563999999999</v>
      </c>
      <c r="G179" s="3">
        <v>17.621464034401878</v>
      </c>
      <c r="H179">
        <f t="shared" si="7"/>
        <v>35.375413284000004</v>
      </c>
    </row>
    <row r="180" spans="1:8" x14ac:dyDescent="0.25">
      <c r="A180">
        <v>1812</v>
      </c>
      <c r="B180" s="2">
        <v>2973.17</v>
      </c>
      <c r="C180">
        <v>13.14</v>
      </c>
      <c r="D180">
        <v>16</v>
      </c>
      <c r="E180" s="3">
        <f t="shared" si="8"/>
        <v>210.24</v>
      </c>
      <c r="F180" s="1">
        <v>3.6831670400000003</v>
      </c>
      <c r="G180" s="3">
        <v>17.518869101978691</v>
      </c>
      <c r="H180">
        <f t="shared" si="7"/>
        <v>36.131868662400002</v>
      </c>
    </row>
    <row r="181" spans="1:8" x14ac:dyDescent="0.25">
      <c r="A181">
        <v>1816</v>
      </c>
      <c r="B181" s="2">
        <v>3001.72</v>
      </c>
      <c r="C181">
        <v>13.54</v>
      </c>
      <c r="D181">
        <v>16</v>
      </c>
      <c r="E181" s="3">
        <f t="shared" si="8"/>
        <v>216.64</v>
      </c>
      <c r="F181" s="1">
        <v>3.7375980800000002</v>
      </c>
      <c r="G181" s="3">
        <v>17.252576070901036</v>
      </c>
      <c r="H181">
        <f t="shared" si="7"/>
        <v>36.665837164800003</v>
      </c>
    </row>
    <row r="182" spans="1:8" x14ac:dyDescent="0.25">
      <c r="A182">
        <v>1820</v>
      </c>
      <c r="B182" s="2">
        <v>3041.86</v>
      </c>
      <c r="C182">
        <v>13.99</v>
      </c>
      <c r="D182">
        <v>16</v>
      </c>
      <c r="E182" s="3">
        <f t="shared" si="8"/>
        <v>223.84</v>
      </c>
      <c r="F182" s="1">
        <v>3.81924464</v>
      </c>
      <c r="G182" s="3">
        <v>17.062386704789134</v>
      </c>
      <c r="H182">
        <f t="shared" si="7"/>
        <v>37.466789918400004</v>
      </c>
    </row>
    <row r="183" spans="1:8" x14ac:dyDescent="0.25">
      <c r="A183">
        <v>1824</v>
      </c>
      <c r="B183" s="2">
        <v>3065.09</v>
      </c>
      <c r="C183">
        <v>14.46</v>
      </c>
      <c r="D183">
        <v>16</v>
      </c>
      <c r="E183" s="3">
        <f t="shared" si="8"/>
        <v>231.36</v>
      </c>
      <c r="F183" s="1">
        <v>3.88728344</v>
      </c>
      <c r="G183" s="3">
        <v>16.801882088520056</v>
      </c>
      <c r="H183">
        <f t="shared" si="7"/>
        <v>38.134250546400004</v>
      </c>
    </row>
    <row r="184" spans="1:8" x14ac:dyDescent="0.25">
      <c r="A184">
        <v>1828</v>
      </c>
      <c r="B184" s="2">
        <v>3107.61</v>
      </c>
      <c r="C184">
        <v>14.86</v>
      </c>
      <c r="D184">
        <v>16</v>
      </c>
      <c r="E184" s="3">
        <f t="shared" si="8"/>
        <v>237.76</v>
      </c>
      <c r="F184" s="1">
        <v>3.9553222400000001</v>
      </c>
      <c r="G184" s="3">
        <v>16.635776581426651</v>
      </c>
      <c r="H184">
        <f t="shared" si="7"/>
        <v>38.801711174400005</v>
      </c>
    </row>
    <row r="185" spans="1:8" x14ac:dyDescent="0.25">
      <c r="A185">
        <v>1832</v>
      </c>
      <c r="B185" s="2">
        <v>3124.51</v>
      </c>
      <c r="C185">
        <v>15.4</v>
      </c>
      <c r="D185">
        <v>16</v>
      </c>
      <c r="E185" s="3">
        <f t="shared" si="8"/>
        <v>246.4</v>
      </c>
      <c r="F185" s="1">
        <v>4.0596484000000004</v>
      </c>
      <c r="G185" s="3">
        <v>16.47584577922078</v>
      </c>
      <c r="H185">
        <f t="shared" si="7"/>
        <v>39.825150804000003</v>
      </c>
    </row>
    <row r="186" spans="1:8" x14ac:dyDescent="0.25">
      <c r="A186">
        <v>1836</v>
      </c>
      <c r="B186" s="2">
        <v>3153.38</v>
      </c>
      <c r="C186">
        <v>15.86</v>
      </c>
      <c r="D186">
        <v>16</v>
      </c>
      <c r="E186" s="3">
        <f t="shared" si="8"/>
        <v>253.76</v>
      </c>
      <c r="F186" s="1">
        <v>4.1458308800000001</v>
      </c>
      <c r="G186" s="3">
        <v>16.337605926860029</v>
      </c>
      <c r="H186">
        <f t="shared" si="7"/>
        <v>40.670600932800006</v>
      </c>
    </row>
    <row r="187" spans="1:8" x14ac:dyDescent="0.25">
      <c r="A187">
        <v>1840</v>
      </c>
      <c r="B187" s="2">
        <v>3180.33</v>
      </c>
      <c r="C187">
        <v>16.41</v>
      </c>
      <c r="D187">
        <v>16</v>
      </c>
      <c r="E187" s="3">
        <f t="shared" si="8"/>
        <v>262.56</v>
      </c>
      <c r="F187" s="1">
        <v>4.2546929600000007</v>
      </c>
      <c r="G187" s="3">
        <v>16.204650213284584</v>
      </c>
      <c r="H187">
        <f t="shared" si="7"/>
        <v>41.738537937600007</v>
      </c>
    </row>
    <row r="188" spans="1:8" x14ac:dyDescent="0.25">
      <c r="A188">
        <v>1844</v>
      </c>
      <c r="B188" s="2">
        <v>3204.34</v>
      </c>
      <c r="C188">
        <v>16.97</v>
      </c>
      <c r="D188">
        <v>16</v>
      </c>
      <c r="E188" s="3">
        <f t="shared" si="8"/>
        <v>271.52</v>
      </c>
      <c r="F188" s="1">
        <v>4.3045880800000003</v>
      </c>
      <c r="G188" s="3">
        <v>15.853668532704772</v>
      </c>
      <c r="H188">
        <f t="shared" si="7"/>
        <v>42.228009064800005</v>
      </c>
    </row>
    <row r="189" spans="1:8" x14ac:dyDescent="0.25">
      <c r="A189">
        <v>1848</v>
      </c>
      <c r="B189" s="2">
        <v>3242.32</v>
      </c>
      <c r="C189">
        <v>17.420000000000002</v>
      </c>
      <c r="D189">
        <v>16</v>
      </c>
      <c r="E189" s="3">
        <f t="shared" si="8"/>
        <v>278.72000000000003</v>
      </c>
      <c r="F189" s="1">
        <v>4.3816987200000002</v>
      </c>
      <c r="G189" s="3">
        <v>15.720790470723307</v>
      </c>
      <c r="H189">
        <f t="shared" si="7"/>
        <v>42.984464443200004</v>
      </c>
    </row>
    <row r="190" spans="1:8" x14ac:dyDescent="0.25">
      <c r="A190">
        <v>1852</v>
      </c>
      <c r="B190" s="2">
        <v>3260.1</v>
      </c>
      <c r="C190">
        <v>18</v>
      </c>
      <c r="D190">
        <v>16</v>
      </c>
      <c r="E190" s="3">
        <f t="shared" si="8"/>
        <v>288</v>
      </c>
      <c r="F190" s="1">
        <v>4.5087044800000005</v>
      </c>
      <c r="G190" s="3">
        <v>15.655223888888891</v>
      </c>
      <c r="H190">
        <f t="shared" si="7"/>
        <v>44.230390948800007</v>
      </c>
    </row>
    <row r="191" spans="1:8" x14ac:dyDescent="0.25">
      <c r="A191">
        <v>1856</v>
      </c>
      <c r="B191" s="2">
        <v>3299.33</v>
      </c>
      <c r="C191">
        <v>18.5</v>
      </c>
      <c r="D191">
        <v>16</v>
      </c>
      <c r="E191" s="3">
        <f t="shared" si="8"/>
        <v>296</v>
      </c>
      <c r="F191" s="1">
        <v>4.5268481600000001</v>
      </c>
      <c r="G191" s="3">
        <v>15.293405945945947</v>
      </c>
      <c r="H191">
        <f t="shared" si="7"/>
        <v>44.408380449600003</v>
      </c>
    </row>
    <row r="192" spans="1:8" x14ac:dyDescent="0.25">
      <c r="A192">
        <v>1860</v>
      </c>
      <c r="B192" s="2">
        <v>3307.84</v>
      </c>
      <c r="C192">
        <v>19.13</v>
      </c>
      <c r="D192">
        <v>16</v>
      </c>
      <c r="E192" s="3">
        <f t="shared" si="8"/>
        <v>306.08</v>
      </c>
      <c r="F192" s="1">
        <v>4.6493180000000001</v>
      </c>
      <c r="G192" s="3">
        <v>15.189878463146892</v>
      </c>
      <c r="H192">
        <f t="shared" si="7"/>
        <v>45.609809580000004</v>
      </c>
    </row>
    <row r="193" spans="1:8" x14ac:dyDescent="0.25">
      <c r="A193">
        <v>1864</v>
      </c>
      <c r="B193" s="2">
        <v>3351.13</v>
      </c>
      <c r="C193">
        <v>19.59</v>
      </c>
      <c r="D193">
        <v>16</v>
      </c>
      <c r="E193" s="3">
        <f t="shared" si="8"/>
        <v>313.44</v>
      </c>
      <c r="F193" s="1">
        <v>4.7082849600000003</v>
      </c>
      <c r="G193" s="3">
        <v>15.021327718223583</v>
      </c>
      <c r="H193">
        <f t="shared" si="7"/>
        <v>46.188275457600007</v>
      </c>
    </row>
    <row r="194" spans="1:8" x14ac:dyDescent="0.25">
      <c r="A194">
        <v>1868</v>
      </c>
      <c r="B194" s="2">
        <v>3378.76</v>
      </c>
      <c r="C194">
        <v>20.149999999999999</v>
      </c>
      <c r="D194">
        <v>16</v>
      </c>
      <c r="E194" s="3">
        <f t="shared" si="8"/>
        <v>322.39999999999998</v>
      </c>
      <c r="F194" s="1">
        <v>4.7853956000000002</v>
      </c>
      <c r="G194" s="3">
        <v>14.843038461538463</v>
      </c>
      <c r="H194">
        <f t="shared" si="7"/>
        <v>46.944730836000005</v>
      </c>
    </row>
    <row r="195" spans="1:8" x14ac:dyDescent="0.25">
      <c r="A195">
        <v>1872</v>
      </c>
      <c r="B195" s="2">
        <v>3405.6</v>
      </c>
      <c r="C195">
        <v>20.67</v>
      </c>
      <c r="D195">
        <v>16</v>
      </c>
      <c r="E195" s="3">
        <f t="shared" si="8"/>
        <v>330.72</v>
      </c>
      <c r="F195" s="1">
        <v>4.8352907199999997</v>
      </c>
      <c r="G195" s="3">
        <v>14.620496855345911</v>
      </c>
      <c r="H195">
        <f t="shared" ref="H195:H202" si="9">F195*9.81</f>
        <v>47.434201963199996</v>
      </c>
    </row>
    <row r="196" spans="1:8" x14ac:dyDescent="0.25">
      <c r="A196">
        <v>1876</v>
      </c>
      <c r="B196" s="2">
        <v>3427.86</v>
      </c>
      <c r="C196">
        <v>21.13</v>
      </c>
      <c r="D196">
        <v>16</v>
      </c>
      <c r="E196" s="3">
        <f t="shared" si="8"/>
        <v>338.08</v>
      </c>
      <c r="F196" s="1">
        <v>4.9305450400000002</v>
      </c>
      <c r="G196" s="3">
        <v>14.58395953620445</v>
      </c>
      <c r="H196">
        <f t="shared" si="9"/>
        <v>48.368646842400004</v>
      </c>
    </row>
    <row r="197" spans="1:8" x14ac:dyDescent="0.25">
      <c r="A197">
        <v>1880</v>
      </c>
      <c r="B197" s="2">
        <v>3437.91</v>
      </c>
      <c r="C197">
        <v>21.8</v>
      </c>
      <c r="D197">
        <v>16</v>
      </c>
      <c r="E197" s="3">
        <f t="shared" si="8"/>
        <v>348.8</v>
      </c>
      <c r="F197" s="1">
        <v>5.0121916000000004</v>
      </c>
      <c r="G197" s="3">
        <v>14.369815366972476</v>
      </c>
      <c r="H197">
        <f t="shared" si="9"/>
        <v>49.169599596000005</v>
      </c>
    </row>
    <row r="198" spans="1:8" x14ac:dyDescent="0.25">
      <c r="A198">
        <v>1884</v>
      </c>
      <c r="B198" s="2">
        <v>3454.99</v>
      </c>
      <c r="C198">
        <v>22.38</v>
      </c>
      <c r="D198">
        <v>16</v>
      </c>
      <c r="E198" s="3">
        <f t="shared" si="8"/>
        <v>358.08</v>
      </c>
      <c r="F198" s="1">
        <v>5.0756944800000001</v>
      </c>
      <c r="G198" s="3">
        <v>14.174750000000001</v>
      </c>
      <c r="H198">
        <f t="shared" si="9"/>
        <v>49.792562848800003</v>
      </c>
    </row>
    <row r="199" spans="1:8" x14ac:dyDescent="0.25">
      <c r="A199">
        <v>1888</v>
      </c>
      <c r="B199" s="2">
        <v>3493.84</v>
      </c>
      <c r="C199">
        <v>22.81</v>
      </c>
      <c r="D199">
        <v>16</v>
      </c>
      <c r="E199" s="3">
        <f t="shared" si="8"/>
        <v>364.96</v>
      </c>
      <c r="F199" s="1">
        <v>5.1437332800000002</v>
      </c>
      <c r="G199" s="3">
        <v>14.093964489259097</v>
      </c>
      <c r="H199">
        <f t="shared" si="9"/>
        <v>50.460023476800004</v>
      </c>
    </row>
    <row r="200" spans="1:8" x14ac:dyDescent="0.25">
      <c r="A200">
        <v>1892</v>
      </c>
      <c r="B200" s="2">
        <v>3515.95</v>
      </c>
      <c r="C200">
        <v>23.28</v>
      </c>
      <c r="D200">
        <v>16</v>
      </c>
      <c r="E200" s="3">
        <f t="shared" si="8"/>
        <v>372.48</v>
      </c>
      <c r="F200" s="1">
        <v>5.17548472</v>
      </c>
      <c r="G200" s="3">
        <v>13.894664733676974</v>
      </c>
      <c r="H200">
        <f t="shared" si="9"/>
        <v>50.771505103200006</v>
      </c>
    </row>
    <row r="201" spans="1:8" x14ac:dyDescent="0.25">
      <c r="A201">
        <v>1896</v>
      </c>
      <c r="B201" s="2">
        <v>3527.23</v>
      </c>
      <c r="C201">
        <v>23.9</v>
      </c>
      <c r="D201">
        <v>16</v>
      </c>
      <c r="E201" s="3">
        <f t="shared" si="8"/>
        <v>382.4</v>
      </c>
      <c r="F201" s="1">
        <v>5.2208439200000001</v>
      </c>
      <c r="G201" s="3">
        <v>13.652834518828451</v>
      </c>
      <c r="H201">
        <f t="shared" si="9"/>
        <v>51.216478855200002</v>
      </c>
    </row>
    <row r="202" spans="1:8" x14ac:dyDescent="0.25">
      <c r="A202">
        <v>1900</v>
      </c>
      <c r="B202" s="2">
        <v>3533.4450000000002</v>
      </c>
      <c r="C202">
        <v>23.83</v>
      </c>
      <c r="D202">
        <v>16</v>
      </c>
      <c r="E202" s="3">
        <v>381.28</v>
      </c>
      <c r="F202" s="1">
        <v>5.245035493333333</v>
      </c>
      <c r="G202" s="3">
        <v>13.756324326249187</v>
      </c>
      <c r="H202">
        <f t="shared" si="9"/>
        <v>51.453798189600001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4C38-0FA1-4D88-BA14-C9F9437FF819}">
  <dimension ref="A1:H202"/>
  <sheetViews>
    <sheetView topLeftCell="A148" workbookViewId="0">
      <selection activeCell="H2" sqref="H2:H202"/>
    </sheetView>
  </sheetViews>
  <sheetFormatPr defaultRowHeight="15" x14ac:dyDescent="0.25"/>
  <cols>
    <col min="1" max="1" width="9.5703125" customWidth="1"/>
    <col min="2" max="2" width="9.140625" style="2"/>
    <col min="3" max="3" width="10.85546875" customWidth="1"/>
    <col min="4" max="4" width="11.140625" customWidth="1"/>
    <col min="5" max="5" width="10.5703125" customWidth="1"/>
    <col min="6" max="6" width="11" customWidth="1"/>
    <col min="7" max="7" width="15.140625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1100</v>
      </c>
      <c r="B2" s="2">
        <v>3643.1816666666668</v>
      </c>
      <c r="C2" s="1">
        <v>28.215</v>
      </c>
      <c r="D2">
        <v>18</v>
      </c>
      <c r="E2" s="3">
        <v>507.86999999999995</v>
      </c>
      <c r="F2" s="1">
        <v>-4.5903510399999998</v>
      </c>
      <c r="G2" s="3">
        <v>9.0384636566976511</v>
      </c>
      <c r="H2">
        <f>F2*9.81</f>
        <v>-45.031343702400001</v>
      </c>
    </row>
    <row r="3" spans="1:8" x14ac:dyDescent="0.25">
      <c r="A3">
        <v>1104</v>
      </c>
      <c r="B3" s="2">
        <v>3643.02</v>
      </c>
      <c r="C3">
        <v>27.91</v>
      </c>
      <c r="D3">
        <v>18</v>
      </c>
      <c r="E3" s="3">
        <f t="shared" ref="E3:E34" si="0">D3*C3</f>
        <v>502.38</v>
      </c>
      <c r="F3" s="1">
        <v>-4.5449918399999998</v>
      </c>
      <c r="G3" s="3">
        <v>9.0469203391854762</v>
      </c>
      <c r="H3">
        <f t="shared" ref="H3:H66" si="1">F3*9.81</f>
        <v>-44.586369950399998</v>
      </c>
    </row>
    <row r="4" spans="1:8" x14ac:dyDescent="0.25">
      <c r="A4">
        <v>1108</v>
      </c>
      <c r="B4" s="2">
        <v>3624.19</v>
      </c>
      <c r="C4">
        <v>27.31</v>
      </c>
      <c r="D4">
        <v>18</v>
      </c>
      <c r="E4" s="3">
        <f t="shared" si="0"/>
        <v>491.58</v>
      </c>
      <c r="F4" s="1">
        <v>-4.5313840800000005</v>
      </c>
      <c r="G4" s="3">
        <v>9.2179992676675209</v>
      </c>
      <c r="H4">
        <f t="shared" si="1"/>
        <v>-44.452877824800005</v>
      </c>
    </row>
    <row r="5" spans="1:8" x14ac:dyDescent="0.25">
      <c r="A5">
        <v>1112</v>
      </c>
      <c r="B5" s="2">
        <v>3607.36</v>
      </c>
      <c r="C5">
        <v>26.62</v>
      </c>
      <c r="D5">
        <v>18</v>
      </c>
      <c r="E5" s="3">
        <f t="shared" si="0"/>
        <v>479.16</v>
      </c>
      <c r="F5" s="1">
        <v>-4.4769530399999997</v>
      </c>
      <c r="G5" s="3">
        <v>9.3433363385925361</v>
      </c>
      <c r="H5">
        <f t="shared" si="1"/>
        <v>-43.918909322399998</v>
      </c>
    </row>
    <row r="6" spans="1:8" x14ac:dyDescent="0.25">
      <c r="A6">
        <v>1116</v>
      </c>
      <c r="B6" s="2">
        <v>3578.13</v>
      </c>
      <c r="C6">
        <v>26.04</v>
      </c>
      <c r="D6">
        <v>18</v>
      </c>
      <c r="E6" s="3">
        <f t="shared" si="0"/>
        <v>468.71999999999997</v>
      </c>
      <c r="F6" s="1">
        <v>-4.4179860800000004</v>
      </c>
      <c r="G6" s="3">
        <v>9.4256402116402107</v>
      </c>
      <c r="H6">
        <f t="shared" si="1"/>
        <v>-43.340443444800009</v>
      </c>
    </row>
    <row r="7" spans="1:8" x14ac:dyDescent="0.25">
      <c r="A7">
        <v>1120</v>
      </c>
      <c r="B7" s="2">
        <v>3563.25</v>
      </c>
      <c r="C7">
        <v>25.38</v>
      </c>
      <c r="D7">
        <v>18</v>
      </c>
      <c r="E7" s="3">
        <f t="shared" si="0"/>
        <v>456.84</v>
      </c>
      <c r="F7" s="1">
        <v>-4.3499472800000003</v>
      </c>
      <c r="G7" s="3">
        <v>9.5218178793450647</v>
      </c>
      <c r="H7">
        <f t="shared" si="1"/>
        <v>-42.672982816800008</v>
      </c>
    </row>
    <row r="8" spans="1:8" x14ac:dyDescent="0.25">
      <c r="A8">
        <v>1124</v>
      </c>
      <c r="B8" s="2">
        <v>3528.18</v>
      </c>
      <c r="C8">
        <v>24.8</v>
      </c>
      <c r="D8">
        <v>18</v>
      </c>
      <c r="E8" s="3">
        <f t="shared" si="0"/>
        <v>446.40000000000003</v>
      </c>
      <c r="F8" s="1">
        <v>-4.3454113599999999</v>
      </c>
      <c r="G8" s="3">
        <v>9.734344444444444</v>
      </c>
      <c r="H8">
        <f t="shared" si="1"/>
        <v>-42.628485441599999</v>
      </c>
    </row>
    <row r="9" spans="1:8" x14ac:dyDescent="0.25">
      <c r="A9">
        <v>1128</v>
      </c>
      <c r="B9" s="2">
        <v>3519.7</v>
      </c>
      <c r="C9">
        <v>24.03</v>
      </c>
      <c r="D9">
        <v>18</v>
      </c>
      <c r="E9" s="3">
        <f t="shared" si="0"/>
        <v>432.54</v>
      </c>
      <c r="F9" s="1">
        <v>-4.1685104800000001</v>
      </c>
      <c r="G9" s="3">
        <v>9.6372832108013124</v>
      </c>
      <c r="H9">
        <f t="shared" si="1"/>
        <v>-40.893087808800004</v>
      </c>
    </row>
    <row r="10" spans="1:8" x14ac:dyDescent="0.25">
      <c r="A10">
        <v>1132</v>
      </c>
      <c r="B10" s="2">
        <v>3482.78</v>
      </c>
      <c r="C10">
        <v>23.53</v>
      </c>
      <c r="D10">
        <v>18</v>
      </c>
      <c r="E10" s="3">
        <f t="shared" si="0"/>
        <v>423.54</v>
      </c>
      <c r="F10" s="1">
        <v>-4.1821182400000003</v>
      </c>
      <c r="G10" s="3">
        <v>9.874198989469706</v>
      </c>
      <c r="H10">
        <f t="shared" si="1"/>
        <v>-41.026579934400004</v>
      </c>
    </row>
    <row r="11" spans="1:8" x14ac:dyDescent="0.25">
      <c r="A11">
        <v>1136</v>
      </c>
      <c r="B11" s="2">
        <v>3469.8</v>
      </c>
      <c r="C11">
        <v>22.78</v>
      </c>
      <c r="D11">
        <v>18</v>
      </c>
      <c r="E11" s="3">
        <f t="shared" si="0"/>
        <v>410.04</v>
      </c>
      <c r="F11" s="1">
        <v>-4.1050075999999995</v>
      </c>
      <c r="G11" s="3">
        <v>10.011236952492437</v>
      </c>
      <c r="H11">
        <f t="shared" si="1"/>
        <v>-40.270124555999999</v>
      </c>
    </row>
    <row r="12" spans="1:8" x14ac:dyDescent="0.25">
      <c r="A12">
        <v>1140</v>
      </c>
      <c r="B12" s="2">
        <v>3440.6</v>
      </c>
      <c r="C12">
        <v>22.21</v>
      </c>
      <c r="D12">
        <v>18</v>
      </c>
      <c r="E12" s="3">
        <f t="shared" si="0"/>
        <v>399.78000000000003</v>
      </c>
      <c r="F12" s="1">
        <v>-4.0369688000000004</v>
      </c>
      <c r="G12" s="3">
        <v>10.097975886737705</v>
      </c>
      <c r="H12">
        <f t="shared" si="1"/>
        <v>-39.602663928000005</v>
      </c>
    </row>
    <row r="13" spans="1:8" x14ac:dyDescent="0.25">
      <c r="A13">
        <v>1144</v>
      </c>
      <c r="B13" s="2">
        <v>3421.79</v>
      </c>
      <c r="C13">
        <v>21.5</v>
      </c>
      <c r="D13">
        <v>18</v>
      </c>
      <c r="E13" s="3">
        <f t="shared" si="0"/>
        <v>387</v>
      </c>
      <c r="F13" s="1">
        <v>-3.9916095999999994</v>
      </c>
      <c r="G13" s="3">
        <v>10.314236692506459</v>
      </c>
      <c r="H13">
        <f t="shared" si="1"/>
        <v>-39.157690175999996</v>
      </c>
    </row>
    <row r="14" spans="1:8" x14ac:dyDescent="0.25">
      <c r="A14">
        <v>1148</v>
      </c>
      <c r="B14" s="2">
        <v>3420</v>
      </c>
      <c r="C14">
        <v>20.61</v>
      </c>
      <c r="D14">
        <v>18</v>
      </c>
      <c r="E14" s="3">
        <f t="shared" si="0"/>
        <v>370.98</v>
      </c>
      <c r="F14" s="1">
        <v>-3.9144989599999995</v>
      </c>
      <c r="G14" s="3">
        <v>10.551778963825541</v>
      </c>
      <c r="H14">
        <f t="shared" si="1"/>
        <v>-38.401234797599997</v>
      </c>
    </row>
    <row r="15" spans="1:8" x14ac:dyDescent="0.25">
      <c r="A15">
        <v>1152</v>
      </c>
      <c r="B15" s="2">
        <v>3375.18</v>
      </c>
      <c r="C15">
        <v>20.170000000000002</v>
      </c>
      <c r="D15">
        <v>18</v>
      </c>
      <c r="E15" s="3">
        <f t="shared" si="0"/>
        <v>363.06000000000006</v>
      </c>
      <c r="F15" s="1">
        <v>-3.8600679199999997</v>
      </c>
      <c r="G15" s="3">
        <v>10.632038561119373</v>
      </c>
      <c r="H15">
        <f t="shared" si="1"/>
        <v>-37.867266295199997</v>
      </c>
    </row>
    <row r="16" spans="1:8" x14ac:dyDescent="0.25">
      <c r="A16">
        <v>1156</v>
      </c>
      <c r="B16" s="2">
        <v>3343.19</v>
      </c>
      <c r="C16">
        <v>19.510000000000002</v>
      </c>
      <c r="D16">
        <v>18</v>
      </c>
      <c r="E16" s="3">
        <f t="shared" si="0"/>
        <v>351.18</v>
      </c>
      <c r="F16" s="1">
        <v>-3.8101728000000001</v>
      </c>
      <c r="G16" s="3">
        <v>10.849629249957285</v>
      </c>
      <c r="H16">
        <f t="shared" si="1"/>
        <v>-37.377795168000006</v>
      </c>
    </row>
    <row r="17" spans="1:8" x14ac:dyDescent="0.25">
      <c r="A17">
        <v>1160</v>
      </c>
      <c r="B17" s="2">
        <v>3315.63</v>
      </c>
      <c r="C17">
        <v>18.850000000000001</v>
      </c>
      <c r="D17">
        <v>18</v>
      </c>
      <c r="E17" s="3">
        <f t="shared" si="0"/>
        <v>339.3</v>
      </c>
      <c r="F17" s="1">
        <v>-3.7149184799999997</v>
      </c>
      <c r="G17" s="3">
        <v>10.948772413793103</v>
      </c>
      <c r="H17">
        <f t="shared" si="1"/>
        <v>-36.443350288799998</v>
      </c>
    </row>
    <row r="18" spans="1:8" x14ac:dyDescent="0.25">
      <c r="A18">
        <v>1164</v>
      </c>
      <c r="B18" s="2">
        <v>3273.25</v>
      </c>
      <c r="C18">
        <v>18.23</v>
      </c>
      <c r="D18">
        <v>18</v>
      </c>
      <c r="E18" s="3">
        <f t="shared" si="0"/>
        <v>328.14</v>
      </c>
      <c r="F18" s="1">
        <v>-3.6831670399999994</v>
      </c>
      <c r="G18" s="3">
        <v>11.224376912293533</v>
      </c>
      <c r="H18">
        <f t="shared" si="1"/>
        <v>-36.131868662399995</v>
      </c>
    </row>
    <row r="19" spans="1:8" x14ac:dyDescent="0.25">
      <c r="A19">
        <v>1168</v>
      </c>
      <c r="B19" s="2">
        <v>3247.91</v>
      </c>
      <c r="C19">
        <v>17.57</v>
      </c>
      <c r="D19">
        <v>18</v>
      </c>
      <c r="E19" s="3">
        <f t="shared" si="0"/>
        <v>316.26</v>
      </c>
      <c r="F19" s="1">
        <v>-3.55616128</v>
      </c>
      <c r="G19" s="3">
        <v>11.244423196104471</v>
      </c>
      <c r="H19">
        <f t="shared" si="1"/>
        <v>-34.885942156799999</v>
      </c>
    </row>
    <row r="20" spans="1:8" x14ac:dyDescent="0.25">
      <c r="A20">
        <v>1172</v>
      </c>
      <c r="B20" s="2">
        <v>3194.78</v>
      </c>
      <c r="C20">
        <v>17.12</v>
      </c>
      <c r="D20">
        <v>18</v>
      </c>
      <c r="E20" s="3">
        <f t="shared" si="0"/>
        <v>308.16000000000003</v>
      </c>
      <c r="F20" s="1">
        <v>-3.5425535199999998</v>
      </c>
      <c r="G20" s="3">
        <v>11.495825285565937</v>
      </c>
      <c r="H20">
        <f t="shared" si="1"/>
        <v>-34.752450031199999</v>
      </c>
    </row>
    <row r="21" spans="1:8" x14ac:dyDescent="0.25">
      <c r="A21">
        <v>1176</v>
      </c>
      <c r="B21" s="2">
        <v>3192.54</v>
      </c>
      <c r="C21">
        <v>16.34</v>
      </c>
      <c r="D21">
        <v>18</v>
      </c>
      <c r="E21" s="3">
        <f t="shared" si="0"/>
        <v>294.12</v>
      </c>
      <c r="F21" s="1">
        <v>-3.4246195999999998</v>
      </c>
      <c r="G21" s="3">
        <v>11.64361349109207</v>
      </c>
      <c r="H21">
        <f t="shared" si="1"/>
        <v>-33.595518276</v>
      </c>
    </row>
    <row r="22" spans="1:8" x14ac:dyDescent="0.25">
      <c r="A22">
        <v>1180</v>
      </c>
      <c r="B22" s="2">
        <v>3152.75</v>
      </c>
      <c r="C22">
        <v>15.8</v>
      </c>
      <c r="D22">
        <v>18</v>
      </c>
      <c r="E22" s="3">
        <f t="shared" si="0"/>
        <v>284.40000000000003</v>
      </c>
      <c r="F22" s="1">
        <v>-3.3565807999999997</v>
      </c>
      <c r="G22" s="3">
        <v>11.802323488045005</v>
      </c>
      <c r="H22">
        <f t="shared" si="1"/>
        <v>-32.928057647999999</v>
      </c>
    </row>
    <row r="23" spans="1:8" x14ac:dyDescent="0.25">
      <c r="A23">
        <v>1184</v>
      </c>
      <c r="B23" s="2">
        <v>3126.77</v>
      </c>
      <c r="C23">
        <v>15.19</v>
      </c>
      <c r="D23">
        <v>18</v>
      </c>
      <c r="E23" s="3">
        <f t="shared" si="0"/>
        <v>273.42</v>
      </c>
      <c r="F23" s="1">
        <v>-3.2658624000000001</v>
      </c>
      <c r="G23" s="3">
        <v>11.944489795918367</v>
      </c>
      <c r="H23">
        <f t="shared" si="1"/>
        <v>-32.038110144000001</v>
      </c>
    </row>
    <row r="24" spans="1:8" x14ac:dyDescent="0.25">
      <c r="A24">
        <v>1188</v>
      </c>
      <c r="B24" s="2">
        <v>3086.75</v>
      </c>
      <c r="C24">
        <v>14.69</v>
      </c>
      <c r="D24">
        <v>18</v>
      </c>
      <c r="E24" s="3">
        <f t="shared" si="0"/>
        <v>264.42</v>
      </c>
      <c r="F24" s="1">
        <v>-3.1932876800000001</v>
      </c>
      <c r="G24" s="3">
        <v>12.076573935405793</v>
      </c>
      <c r="H24">
        <f t="shared" si="1"/>
        <v>-31.326152140800001</v>
      </c>
    </row>
    <row r="25" spans="1:8" x14ac:dyDescent="0.25">
      <c r="A25">
        <v>1192</v>
      </c>
      <c r="B25" s="2">
        <v>3056.59</v>
      </c>
      <c r="C25">
        <v>14.16</v>
      </c>
      <c r="D25">
        <v>18</v>
      </c>
      <c r="E25" s="3">
        <f t="shared" si="0"/>
        <v>254.88</v>
      </c>
      <c r="F25" s="1">
        <v>-3.0934974399999997</v>
      </c>
      <c r="G25" s="3">
        <v>12.137074074074073</v>
      </c>
      <c r="H25">
        <f t="shared" si="1"/>
        <v>-30.347209886399998</v>
      </c>
    </row>
    <row r="26" spans="1:8" x14ac:dyDescent="0.25">
      <c r="A26">
        <v>1196</v>
      </c>
      <c r="B26" s="2">
        <v>3021.9</v>
      </c>
      <c r="C26">
        <v>13.68</v>
      </c>
      <c r="D26">
        <v>18</v>
      </c>
      <c r="E26" s="3">
        <f t="shared" si="0"/>
        <v>246.24</v>
      </c>
      <c r="F26" s="1">
        <v>-3.02999456</v>
      </c>
      <c r="G26" s="3">
        <v>12.30504613385315</v>
      </c>
      <c r="H26">
        <f t="shared" si="1"/>
        <v>-29.7242466336</v>
      </c>
    </row>
    <row r="27" spans="1:8" x14ac:dyDescent="0.25">
      <c r="A27">
        <v>1200</v>
      </c>
      <c r="B27" s="2">
        <v>2985.16</v>
      </c>
      <c r="C27">
        <v>13.27</v>
      </c>
      <c r="D27">
        <v>18</v>
      </c>
      <c r="E27" s="3">
        <f t="shared" si="0"/>
        <v>238.85999999999999</v>
      </c>
      <c r="F27" s="1">
        <v>-2.9574198399999996</v>
      </c>
      <c r="G27" s="3">
        <v>12.381394289541991</v>
      </c>
      <c r="H27">
        <f t="shared" si="1"/>
        <v>-29.012288630399997</v>
      </c>
    </row>
    <row r="28" spans="1:8" x14ac:dyDescent="0.25">
      <c r="A28">
        <v>1204</v>
      </c>
      <c r="B28" s="2">
        <v>2958.47</v>
      </c>
      <c r="C28">
        <v>12.83</v>
      </c>
      <c r="D28">
        <v>18</v>
      </c>
      <c r="E28" s="3">
        <f t="shared" si="0"/>
        <v>230.94</v>
      </c>
      <c r="F28" s="1">
        <v>-2.8803091999999997</v>
      </c>
      <c r="G28" s="3">
        <v>12.472110504893045</v>
      </c>
      <c r="H28">
        <f t="shared" si="1"/>
        <v>-28.255833251999999</v>
      </c>
    </row>
    <row r="29" spans="1:8" x14ac:dyDescent="0.25">
      <c r="A29">
        <v>1208</v>
      </c>
      <c r="B29" s="2">
        <v>2925.41</v>
      </c>
      <c r="C29">
        <v>12.36</v>
      </c>
      <c r="D29">
        <v>18</v>
      </c>
      <c r="E29" s="3">
        <f t="shared" si="0"/>
        <v>222.48</v>
      </c>
      <c r="F29" s="1">
        <v>-2.8440218399999999</v>
      </c>
      <c r="G29" s="3">
        <v>12.783269687162891</v>
      </c>
      <c r="H29">
        <f t="shared" si="1"/>
        <v>-27.899854250400001</v>
      </c>
    </row>
    <row r="30" spans="1:8" x14ac:dyDescent="0.25">
      <c r="A30">
        <v>1212</v>
      </c>
      <c r="B30" s="2">
        <v>2896.06</v>
      </c>
      <c r="C30">
        <v>11.99</v>
      </c>
      <c r="D30">
        <v>18</v>
      </c>
      <c r="E30" s="3">
        <f t="shared" si="0"/>
        <v>215.82</v>
      </c>
      <c r="F30" s="1">
        <v>-2.7759830399999998</v>
      </c>
      <c r="G30" s="3">
        <v>12.862492076730609</v>
      </c>
      <c r="H30">
        <f t="shared" si="1"/>
        <v>-27.2323936224</v>
      </c>
    </row>
    <row r="31" spans="1:8" x14ac:dyDescent="0.25">
      <c r="A31">
        <v>1216</v>
      </c>
      <c r="B31" s="2">
        <v>2866.32</v>
      </c>
      <c r="C31">
        <v>11.58</v>
      </c>
      <c r="D31">
        <v>18</v>
      </c>
      <c r="E31" s="3">
        <f t="shared" si="0"/>
        <v>208.44</v>
      </c>
      <c r="F31" s="1">
        <v>-2.6988723999999999</v>
      </c>
      <c r="G31" s="3">
        <v>12.947958165419307</v>
      </c>
      <c r="H31">
        <f t="shared" si="1"/>
        <v>-26.475938244000002</v>
      </c>
    </row>
    <row r="32" spans="1:8" x14ac:dyDescent="0.25">
      <c r="A32">
        <v>1220</v>
      </c>
      <c r="B32" s="2">
        <v>2829.15</v>
      </c>
      <c r="C32">
        <v>11.32</v>
      </c>
      <c r="D32">
        <v>18</v>
      </c>
      <c r="E32" s="3">
        <f t="shared" si="0"/>
        <v>203.76</v>
      </c>
      <c r="F32" s="1">
        <v>-2.6580491199999998</v>
      </c>
      <c r="G32" s="3">
        <v>13.044999607381232</v>
      </c>
      <c r="H32">
        <f t="shared" si="1"/>
        <v>-26.075461867199998</v>
      </c>
    </row>
    <row r="33" spans="1:8" x14ac:dyDescent="0.25">
      <c r="A33">
        <v>1224</v>
      </c>
      <c r="B33" s="2">
        <v>2806.13</v>
      </c>
      <c r="C33">
        <v>11</v>
      </c>
      <c r="D33">
        <v>18</v>
      </c>
      <c r="E33" s="3">
        <f t="shared" si="0"/>
        <v>198</v>
      </c>
      <c r="F33" s="1">
        <v>-2.5854743999999998</v>
      </c>
      <c r="G33" s="3">
        <v>13.057951515151515</v>
      </c>
      <c r="H33">
        <f t="shared" si="1"/>
        <v>-25.363503863999998</v>
      </c>
    </row>
    <row r="34" spans="1:8" x14ac:dyDescent="0.25">
      <c r="A34">
        <v>1228</v>
      </c>
      <c r="B34" s="2">
        <v>2785.07</v>
      </c>
      <c r="C34">
        <v>10.65</v>
      </c>
      <c r="D34">
        <v>18</v>
      </c>
      <c r="E34" s="3">
        <f t="shared" si="0"/>
        <v>191.70000000000002</v>
      </c>
      <c r="F34" s="1">
        <v>-2.5265074399999996</v>
      </c>
      <c r="G34" s="3">
        <v>13.179485863328114</v>
      </c>
      <c r="H34">
        <f t="shared" si="1"/>
        <v>-24.785037986399999</v>
      </c>
    </row>
    <row r="35" spans="1:8" x14ac:dyDescent="0.25">
      <c r="A35">
        <v>1232</v>
      </c>
      <c r="B35" s="2">
        <v>2755.62</v>
      </c>
      <c r="C35">
        <v>10.27</v>
      </c>
      <c r="D35">
        <v>18</v>
      </c>
      <c r="E35" s="3">
        <f t="shared" ref="E35:E66" si="2">D35*C35</f>
        <v>184.85999999999999</v>
      </c>
      <c r="F35" s="1">
        <v>-2.4766123200000001</v>
      </c>
      <c r="G35" s="3">
        <v>13.397232067510549</v>
      </c>
      <c r="H35">
        <f t="shared" si="1"/>
        <v>-24.295566859200001</v>
      </c>
    </row>
    <row r="36" spans="1:8" x14ac:dyDescent="0.25">
      <c r="A36">
        <v>1236</v>
      </c>
      <c r="B36" s="2">
        <v>2719.81</v>
      </c>
      <c r="C36">
        <v>9.9700000000000006</v>
      </c>
      <c r="D36">
        <v>18</v>
      </c>
      <c r="E36" s="3">
        <f t="shared" si="2"/>
        <v>179.46</v>
      </c>
      <c r="F36" s="1">
        <v>-2.4221812799999998</v>
      </c>
      <c r="G36" s="3">
        <v>13.497053828151119</v>
      </c>
      <c r="H36">
        <f t="shared" si="1"/>
        <v>-23.7615983568</v>
      </c>
    </row>
    <row r="37" spans="1:8" x14ac:dyDescent="0.25">
      <c r="A37">
        <v>1240</v>
      </c>
      <c r="B37" s="2">
        <v>2695.2</v>
      </c>
      <c r="C37">
        <v>9.5500000000000007</v>
      </c>
      <c r="D37">
        <v>18</v>
      </c>
      <c r="E37" s="3">
        <f t="shared" si="2"/>
        <v>171.9</v>
      </c>
      <c r="F37" s="1">
        <v>-2.36321432</v>
      </c>
      <c r="G37" s="3">
        <v>13.747610936591041</v>
      </c>
      <c r="H37">
        <f t="shared" si="1"/>
        <v>-23.183132479200001</v>
      </c>
    </row>
    <row r="38" spans="1:8" x14ac:dyDescent="0.25">
      <c r="A38">
        <v>1244</v>
      </c>
      <c r="B38" s="2">
        <v>2673.35</v>
      </c>
      <c r="C38">
        <v>9.1999999999999993</v>
      </c>
      <c r="D38">
        <v>18</v>
      </c>
      <c r="E38" s="3">
        <f t="shared" si="2"/>
        <v>165.6</v>
      </c>
      <c r="F38" s="1">
        <v>-2.3178551199999999</v>
      </c>
      <c r="G38" s="3">
        <v>13.996709661835748</v>
      </c>
      <c r="H38">
        <f t="shared" si="1"/>
        <v>-22.738158727200002</v>
      </c>
    </row>
    <row r="39" spans="1:8" x14ac:dyDescent="0.25">
      <c r="A39">
        <v>1248</v>
      </c>
      <c r="B39" s="2">
        <v>2638.02</v>
      </c>
      <c r="C39">
        <v>8.8699999999999992</v>
      </c>
      <c r="D39">
        <v>18</v>
      </c>
      <c r="E39" s="3">
        <f t="shared" si="2"/>
        <v>159.66</v>
      </c>
      <c r="F39" s="1">
        <v>-2.2543522399999998</v>
      </c>
      <c r="G39" s="3">
        <v>14.119705874984341</v>
      </c>
      <c r="H39">
        <f t="shared" si="1"/>
        <v>-22.1151954744</v>
      </c>
    </row>
    <row r="40" spans="1:8" x14ac:dyDescent="0.25">
      <c r="A40">
        <v>1252</v>
      </c>
      <c r="B40" s="2">
        <v>2603.2600000000002</v>
      </c>
      <c r="C40">
        <v>8.5399999999999991</v>
      </c>
      <c r="D40">
        <v>18</v>
      </c>
      <c r="E40" s="3">
        <f t="shared" si="2"/>
        <v>153.71999999999997</v>
      </c>
      <c r="F40" s="1">
        <v>-2.2089930400000002</v>
      </c>
      <c r="G40" s="3">
        <v>14.370238355451471</v>
      </c>
      <c r="H40">
        <f t="shared" si="1"/>
        <v>-21.670221722400004</v>
      </c>
    </row>
    <row r="41" spans="1:8" x14ac:dyDescent="0.25">
      <c r="A41">
        <v>1256</v>
      </c>
      <c r="B41" s="2">
        <v>2572.35</v>
      </c>
      <c r="C41">
        <v>8.19</v>
      </c>
      <c r="D41">
        <v>18</v>
      </c>
      <c r="E41" s="3">
        <f t="shared" si="2"/>
        <v>147.41999999999999</v>
      </c>
      <c r="F41" s="1">
        <v>-2.1590979199999998</v>
      </c>
      <c r="G41" s="3">
        <v>14.645895536562202</v>
      </c>
      <c r="H41">
        <f t="shared" si="1"/>
        <v>-21.180750595199999</v>
      </c>
    </row>
    <row r="42" spans="1:8" x14ac:dyDescent="0.25">
      <c r="A42">
        <v>1260</v>
      </c>
      <c r="B42" s="2">
        <v>2549.34</v>
      </c>
      <c r="C42">
        <v>7.77</v>
      </c>
      <c r="D42">
        <v>18</v>
      </c>
      <c r="E42" s="3">
        <f t="shared" si="2"/>
        <v>139.85999999999999</v>
      </c>
      <c r="F42" s="1">
        <v>-2.1092027999999998</v>
      </c>
      <c r="G42" s="3">
        <v>15.0808151008151</v>
      </c>
      <c r="H42">
        <f t="shared" si="1"/>
        <v>-20.691279467999998</v>
      </c>
    </row>
    <row r="43" spans="1:8" x14ac:dyDescent="0.25">
      <c r="A43">
        <v>1264</v>
      </c>
      <c r="B43" s="2">
        <v>2513.6999999999998</v>
      </c>
      <c r="C43">
        <v>7.39</v>
      </c>
      <c r="D43">
        <v>18</v>
      </c>
      <c r="E43" s="3">
        <f t="shared" si="2"/>
        <v>133.01999999999998</v>
      </c>
      <c r="F43" s="1">
        <v>-2.0411640000000002</v>
      </c>
      <c r="G43" s="3">
        <v>15.344790257104197</v>
      </c>
      <c r="H43">
        <f t="shared" si="1"/>
        <v>-20.023818840000004</v>
      </c>
    </row>
    <row r="44" spans="1:8" x14ac:dyDescent="0.25">
      <c r="A44">
        <v>1268</v>
      </c>
      <c r="B44" s="2">
        <v>2487.94</v>
      </c>
      <c r="C44">
        <v>7</v>
      </c>
      <c r="D44">
        <v>18</v>
      </c>
      <c r="E44" s="3">
        <f t="shared" si="2"/>
        <v>126</v>
      </c>
      <c r="F44" s="1">
        <v>-1.9958047999999997</v>
      </c>
      <c r="G44" s="3">
        <v>15.839720634920631</v>
      </c>
      <c r="H44">
        <f t="shared" si="1"/>
        <v>-19.578845087999998</v>
      </c>
    </row>
    <row r="45" spans="1:8" x14ac:dyDescent="0.25">
      <c r="A45">
        <v>1272</v>
      </c>
      <c r="B45" s="2">
        <v>2444.04</v>
      </c>
      <c r="C45">
        <v>6.65</v>
      </c>
      <c r="D45">
        <v>18</v>
      </c>
      <c r="E45" s="3">
        <f t="shared" si="2"/>
        <v>119.7</v>
      </c>
      <c r="F45" s="1">
        <v>-1.9413737599999996</v>
      </c>
      <c r="G45" s="3">
        <v>16.218661319966582</v>
      </c>
      <c r="H45">
        <f t="shared" si="1"/>
        <v>-19.044876585599997</v>
      </c>
    </row>
    <row r="46" spans="1:8" x14ac:dyDescent="0.25">
      <c r="A46">
        <v>1276</v>
      </c>
      <c r="B46" s="2">
        <v>2410.9299999999998</v>
      </c>
      <c r="C46">
        <v>6.3</v>
      </c>
      <c r="D46">
        <v>18</v>
      </c>
      <c r="E46" s="3">
        <f t="shared" si="2"/>
        <v>113.39999999999999</v>
      </c>
      <c r="F46" s="1">
        <v>-1.8824067999999998</v>
      </c>
      <c r="G46" s="3">
        <v>16.599707231040565</v>
      </c>
      <c r="H46">
        <f t="shared" si="1"/>
        <v>-18.466410707999998</v>
      </c>
    </row>
    <row r="47" spans="1:8" x14ac:dyDescent="0.25">
      <c r="A47">
        <v>1280</v>
      </c>
      <c r="B47" s="2">
        <v>2379.2600000000002</v>
      </c>
      <c r="C47">
        <v>6</v>
      </c>
      <c r="D47">
        <v>18</v>
      </c>
      <c r="E47" s="3">
        <f t="shared" si="2"/>
        <v>108</v>
      </c>
      <c r="F47" s="1">
        <v>-1.814368</v>
      </c>
      <c r="G47" s="3">
        <v>16.799703703703702</v>
      </c>
      <c r="H47">
        <f t="shared" si="1"/>
        <v>-17.798950080000001</v>
      </c>
    </row>
    <row r="48" spans="1:8" x14ac:dyDescent="0.25">
      <c r="A48">
        <v>1284</v>
      </c>
      <c r="B48" s="2">
        <v>2343.3200000000002</v>
      </c>
      <c r="C48">
        <v>5.75</v>
      </c>
      <c r="D48">
        <v>18</v>
      </c>
      <c r="E48" s="3">
        <f t="shared" si="2"/>
        <v>103.5</v>
      </c>
      <c r="F48" s="1">
        <v>-1.7599369599999999</v>
      </c>
      <c r="G48" s="3">
        <v>17.004221835748794</v>
      </c>
      <c r="H48">
        <f t="shared" si="1"/>
        <v>-17.2649815776</v>
      </c>
    </row>
    <row r="49" spans="1:8" x14ac:dyDescent="0.25">
      <c r="A49">
        <v>1288</v>
      </c>
      <c r="B49" s="2">
        <v>2309.77</v>
      </c>
      <c r="C49">
        <v>5.5</v>
      </c>
      <c r="D49">
        <v>18</v>
      </c>
      <c r="E49" s="3">
        <f t="shared" si="2"/>
        <v>99</v>
      </c>
      <c r="F49" s="1">
        <v>-1.7191136799999998</v>
      </c>
      <c r="G49" s="3">
        <v>17.364784646464642</v>
      </c>
      <c r="H49">
        <f t="shared" si="1"/>
        <v>-16.8645052008</v>
      </c>
    </row>
    <row r="50" spans="1:8" x14ac:dyDescent="0.25">
      <c r="A50">
        <v>1292</v>
      </c>
      <c r="B50" s="2">
        <v>2283.21</v>
      </c>
      <c r="C50">
        <v>5.23</v>
      </c>
      <c r="D50">
        <v>18</v>
      </c>
      <c r="E50" s="3">
        <f t="shared" si="2"/>
        <v>94.140000000000015</v>
      </c>
      <c r="F50" s="1">
        <v>-1.6601467199999997</v>
      </c>
      <c r="G50" s="3">
        <v>17.634870618228167</v>
      </c>
      <c r="H50">
        <f t="shared" si="1"/>
        <v>-16.286039323199997</v>
      </c>
    </row>
    <row r="51" spans="1:8" x14ac:dyDescent="0.25">
      <c r="A51">
        <v>1296</v>
      </c>
      <c r="B51" s="2">
        <v>2246.6799999999998</v>
      </c>
      <c r="C51">
        <v>5</v>
      </c>
      <c r="D51">
        <v>18</v>
      </c>
      <c r="E51" s="3">
        <f t="shared" si="2"/>
        <v>90</v>
      </c>
      <c r="F51" s="1">
        <v>-1.6102516</v>
      </c>
      <c r="G51" s="3">
        <v>17.891684444444444</v>
      </c>
      <c r="H51">
        <f t="shared" si="1"/>
        <v>-15.796568196000001</v>
      </c>
    </row>
    <row r="52" spans="1:8" x14ac:dyDescent="0.25">
      <c r="A52">
        <v>1300</v>
      </c>
      <c r="B52" s="2">
        <v>2217.88</v>
      </c>
      <c r="C52">
        <v>4.79</v>
      </c>
      <c r="D52">
        <v>18</v>
      </c>
      <c r="E52" s="3">
        <f t="shared" si="2"/>
        <v>86.22</v>
      </c>
      <c r="F52" s="1">
        <v>-1.5648924</v>
      </c>
      <c r="G52" s="3">
        <v>18.149993041057755</v>
      </c>
      <c r="H52">
        <f t="shared" si="1"/>
        <v>-15.351594444</v>
      </c>
    </row>
    <row r="53" spans="1:8" x14ac:dyDescent="0.25">
      <c r="A53">
        <v>1304</v>
      </c>
      <c r="B53" s="2">
        <v>2177.62</v>
      </c>
      <c r="C53">
        <v>4.59</v>
      </c>
      <c r="D53">
        <v>18</v>
      </c>
      <c r="E53" s="3">
        <f t="shared" si="2"/>
        <v>82.62</v>
      </c>
      <c r="F53" s="1">
        <v>-1.5195331999999999</v>
      </c>
      <c r="G53" s="3">
        <v>18.391832486080848</v>
      </c>
      <c r="H53">
        <f t="shared" si="1"/>
        <v>-14.906620692000001</v>
      </c>
    </row>
    <row r="54" spans="1:8" x14ac:dyDescent="0.25">
      <c r="A54">
        <v>1308</v>
      </c>
      <c r="B54" s="2">
        <v>2154.5300000000002</v>
      </c>
      <c r="C54">
        <v>4.3</v>
      </c>
      <c r="D54">
        <v>18</v>
      </c>
      <c r="E54" s="3">
        <f t="shared" si="2"/>
        <v>77.399999999999991</v>
      </c>
      <c r="F54" s="1">
        <v>-1.46510216</v>
      </c>
      <c r="G54" s="3">
        <v>18.928968475452198</v>
      </c>
      <c r="H54">
        <f t="shared" si="1"/>
        <v>-14.372652189600002</v>
      </c>
    </row>
    <row r="55" spans="1:8" x14ac:dyDescent="0.25">
      <c r="A55">
        <v>1312</v>
      </c>
      <c r="B55" s="2">
        <v>2122.9699999999998</v>
      </c>
      <c r="C55">
        <v>4.0999999999999996</v>
      </c>
      <c r="D55">
        <v>18</v>
      </c>
      <c r="E55" s="3">
        <f t="shared" si="2"/>
        <v>73.8</v>
      </c>
      <c r="F55" s="1">
        <v>-1.4242788799999999</v>
      </c>
      <c r="G55" s="3">
        <v>19.299171815718157</v>
      </c>
      <c r="H55">
        <f t="shared" si="1"/>
        <v>-13.9721758128</v>
      </c>
    </row>
    <row r="56" spans="1:8" x14ac:dyDescent="0.25">
      <c r="A56">
        <v>1316</v>
      </c>
      <c r="B56" s="2">
        <v>2089.2199999999998</v>
      </c>
      <c r="C56">
        <v>3.9</v>
      </c>
      <c r="D56">
        <v>18</v>
      </c>
      <c r="E56" s="3">
        <f t="shared" si="2"/>
        <v>70.2</v>
      </c>
      <c r="F56" s="1">
        <v>-1.3789196799999999</v>
      </c>
      <c r="G56" s="3">
        <v>19.642730484330478</v>
      </c>
      <c r="H56">
        <f t="shared" si="1"/>
        <v>-13.527202060799999</v>
      </c>
    </row>
    <row r="57" spans="1:8" x14ac:dyDescent="0.25">
      <c r="A57">
        <v>1320</v>
      </c>
      <c r="B57" s="2">
        <v>2046.05</v>
      </c>
      <c r="C57">
        <v>3.68</v>
      </c>
      <c r="D57">
        <v>18</v>
      </c>
      <c r="E57" s="3">
        <f t="shared" si="2"/>
        <v>66.240000000000009</v>
      </c>
      <c r="F57" s="1">
        <v>-1.3290245599999999</v>
      </c>
      <c r="G57" s="3">
        <v>20.063776570048304</v>
      </c>
      <c r="H57">
        <f t="shared" si="1"/>
        <v>-13.037730933599999</v>
      </c>
    </row>
    <row r="58" spans="1:8" x14ac:dyDescent="0.25">
      <c r="A58">
        <v>1324</v>
      </c>
      <c r="B58" s="2">
        <v>2013.09</v>
      </c>
      <c r="C58">
        <v>3.4</v>
      </c>
      <c r="D58">
        <v>18</v>
      </c>
      <c r="E58" s="3">
        <f t="shared" si="2"/>
        <v>61.199999999999996</v>
      </c>
      <c r="F58" s="1">
        <v>-1.2745935199999998</v>
      </c>
      <c r="G58" s="3">
        <v>20.82669150326797</v>
      </c>
      <c r="H58">
        <f t="shared" si="1"/>
        <v>-12.503762431199998</v>
      </c>
    </row>
    <row r="59" spans="1:8" x14ac:dyDescent="0.25">
      <c r="A59">
        <v>1328</v>
      </c>
      <c r="B59" s="2">
        <v>1974.15</v>
      </c>
      <c r="C59">
        <v>3.3</v>
      </c>
      <c r="D59">
        <v>18</v>
      </c>
      <c r="E59" s="3">
        <f t="shared" si="2"/>
        <v>59.4</v>
      </c>
      <c r="F59" s="1">
        <v>-1.2246983999999999</v>
      </c>
      <c r="G59" s="3">
        <v>20.61781818181818</v>
      </c>
      <c r="H59">
        <f t="shared" si="1"/>
        <v>-12.014291303999999</v>
      </c>
    </row>
    <row r="60" spans="1:8" x14ac:dyDescent="0.25">
      <c r="A60">
        <v>1332</v>
      </c>
      <c r="B60" s="2">
        <v>1937.11</v>
      </c>
      <c r="C60">
        <v>3.1</v>
      </c>
      <c r="D60">
        <v>18</v>
      </c>
      <c r="E60" s="3">
        <f t="shared" si="2"/>
        <v>55.800000000000004</v>
      </c>
      <c r="F60" s="1">
        <v>-1.1748032799999999</v>
      </c>
      <c r="G60" s="3">
        <v>21.05382222222222</v>
      </c>
      <c r="H60">
        <f t="shared" si="1"/>
        <v>-11.524820176799999</v>
      </c>
    </row>
    <row r="61" spans="1:8" x14ac:dyDescent="0.25">
      <c r="A61">
        <v>1336</v>
      </c>
      <c r="B61" s="2">
        <v>1896.43</v>
      </c>
      <c r="C61">
        <v>2.9</v>
      </c>
      <c r="D61">
        <v>18</v>
      </c>
      <c r="E61" s="3">
        <f t="shared" si="2"/>
        <v>52.199999999999996</v>
      </c>
      <c r="F61" s="1">
        <v>-1.13398</v>
      </c>
      <c r="G61" s="3">
        <v>21.723754789272032</v>
      </c>
      <c r="H61">
        <f t="shared" si="1"/>
        <v>-11.1243438</v>
      </c>
    </row>
    <row r="62" spans="1:8" x14ac:dyDescent="0.25">
      <c r="A62">
        <v>1340</v>
      </c>
      <c r="B62" s="2">
        <v>1870.73</v>
      </c>
      <c r="C62">
        <v>2.73</v>
      </c>
      <c r="D62">
        <v>18</v>
      </c>
      <c r="E62" s="3">
        <f t="shared" si="2"/>
        <v>49.14</v>
      </c>
      <c r="F62" s="1">
        <v>-1.0840848799999998</v>
      </c>
      <c r="G62" s="3">
        <v>22.061149369149366</v>
      </c>
      <c r="H62">
        <f t="shared" si="1"/>
        <v>-10.634872672799998</v>
      </c>
    </row>
    <row r="63" spans="1:8" x14ac:dyDescent="0.25">
      <c r="A63">
        <v>1344</v>
      </c>
      <c r="B63" s="2">
        <v>1832.49</v>
      </c>
      <c r="C63">
        <v>2.5</v>
      </c>
      <c r="D63">
        <v>18</v>
      </c>
      <c r="E63" s="3">
        <f t="shared" si="2"/>
        <v>45</v>
      </c>
      <c r="F63" s="1">
        <v>-1.0477975199999998</v>
      </c>
      <c r="G63" s="3">
        <v>23.28438933333333</v>
      </c>
      <c r="H63">
        <f t="shared" si="1"/>
        <v>-10.278893671199999</v>
      </c>
    </row>
    <row r="64" spans="1:8" x14ac:dyDescent="0.25">
      <c r="A64">
        <v>1348</v>
      </c>
      <c r="B64" s="2">
        <v>1796.35</v>
      </c>
      <c r="C64">
        <v>2.2999999999999998</v>
      </c>
      <c r="D64">
        <v>18</v>
      </c>
      <c r="E64" s="3">
        <f t="shared" si="2"/>
        <v>41.4</v>
      </c>
      <c r="F64" s="1">
        <v>-1.01151016</v>
      </c>
      <c r="G64" s="3">
        <v>24.432612560386474</v>
      </c>
      <c r="H64">
        <f t="shared" si="1"/>
        <v>-9.9229146696000008</v>
      </c>
    </row>
    <row r="65" spans="1:8" x14ac:dyDescent="0.25">
      <c r="A65">
        <v>1352</v>
      </c>
      <c r="B65" s="2">
        <v>1764.93</v>
      </c>
      <c r="C65">
        <v>2.14</v>
      </c>
      <c r="D65">
        <v>18</v>
      </c>
      <c r="E65" s="3">
        <f t="shared" si="2"/>
        <v>38.520000000000003</v>
      </c>
      <c r="F65" s="1">
        <v>-0.97068687999999981</v>
      </c>
      <c r="G65" s="3">
        <v>25.199555555555548</v>
      </c>
      <c r="H65">
        <f t="shared" si="1"/>
        <v>-9.5224382927999986</v>
      </c>
    </row>
    <row r="66" spans="1:8" x14ac:dyDescent="0.25">
      <c r="A66">
        <v>1356</v>
      </c>
      <c r="B66" s="2">
        <v>1733.32</v>
      </c>
      <c r="C66">
        <v>2</v>
      </c>
      <c r="D66">
        <v>18</v>
      </c>
      <c r="E66" s="3">
        <f t="shared" si="2"/>
        <v>36</v>
      </c>
      <c r="F66" s="1">
        <v>-0.93439951999999982</v>
      </c>
      <c r="G66" s="3">
        <v>25.955542222222217</v>
      </c>
      <c r="H66">
        <f t="shared" si="1"/>
        <v>-9.1664592911999989</v>
      </c>
    </row>
    <row r="67" spans="1:8" x14ac:dyDescent="0.25">
      <c r="A67">
        <v>1360</v>
      </c>
      <c r="B67" s="2">
        <v>1696.73</v>
      </c>
      <c r="C67">
        <v>1.9</v>
      </c>
      <c r="D67">
        <v>18</v>
      </c>
      <c r="E67" s="3">
        <f t="shared" ref="E67:E98" si="3">D67*C67</f>
        <v>34.199999999999996</v>
      </c>
      <c r="F67" s="1">
        <v>-0.89357624000000002</v>
      </c>
      <c r="G67" s="3">
        <v>26.127960233918131</v>
      </c>
      <c r="H67">
        <f t="shared" ref="H67:H130" si="4">F67*9.81</f>
        <v>-8.7659829144000003</v>
      </c>
    </row>
    <row r="68" spans="1:8" x14ac:dyDescent="0.25">
      <c r="A68">
        <v>1364</v>
      </c>
      <c r="B68" s="2">
        <v>1659.43</v>
      </c>
      <c r="C68">
        <v>1.76</v>
      </c>
      <c r="D68">
        <v>18</v>
      </c>
      <c r="E68" s="3">
        <f t="shared" si="3"/>
        <v>31.68</v>
      </c>
      <c r="F68" s="1">
        <v>-0.85728887999999992</v>
      </c>
      <c r="G68" s="3">
        <v>27.060886363636364</v>
      </c>
      <c r="H68">
        <f t="shared" si="4"/>
        <v>-8.4100039127999988</v>
      </c>
    </row>
    <row r="69" spans="1:8" x14ac:dyDescent="0.25">
      <c r="A69">
        <v>1368</v>
      </c>
      <c r="B69" s="2">
        <v>1611.36</v>
      </c>
      <c r="C69">
        <v>1.6</v>
      </c>
      <c r="D69">
        <v>18</v>
      </c>
      <c r="E69" s="3">
        <f t="shared" si="3"/>
        <v>28.8</v>
      </c>
      <c r="F69" s="1">
        <v>-0.81192967999999999</v>
      </c>
      <c r="G69" s="3">
        <v>28.192002777777777</v>
      </c>
      <c r="H69">
        <f t="shared" si="4"/>
        <v>-7.9650301608000005</v>
      </c>
    </row>
    <row r="70" spans="1:8" x14ac:dyDescent="0.25">
      <c r="A70">
        <v>1372</v>
      </c>
      <c r="B70" s="2">
        <v>1575.48</v>
      </c>
      <c r="C70">
        <v>1.5</v>
      </c>
      <c r="D70">
        <v>18</v>
      </c>
      <c r="E70" s="3">
        <f t="shared" si="3"/>
        <v>27</v>
      </c>
      <c r="F70" s="1">
        <v>-0.77110639999999997</v>
      </c>
      <c r="G70" s="3">
        <v>28.559496296296295</v>
      </c>
      <c r="H70">
        <f t="shared" si="4"/>
        <v>-7.5645537840000001</v>
      </c>
    </row>
    <row r="71" spans="1:8" x14ac:dyDescent="0.25">
      <c r="A71">
        <v>1376</v>
      </c>
      <c r="B71" s="2">
        <v>1539.42</v>
      </c>
      <c r="C71">
        <v>1.4</v>
      </c>
      <c r="D71">
        <v>18</v>
      </c>
      <c r="E71" s="3">
        <f t="shared" si="3"/>
        <v>25.2</v>
      </c>
      <c r="F71" s="1">
        <v>-0.73935496000000001</v>
      </c>
      <c r="G71" s="3">
        <v>29.339482539682542</v>
      </c>
      <c r="H71">
        <f t="shared" si="4"/>
        <v>-7.2530721576000001</v>
      </c>
    </row>
    <row r="72" spans="1:8" x14ac:dyDescent="0.25">
      <c r="A72">
        <v>1380</v>
      </c>
      <c r="B72" s="2">
        <v>1507.45</v>
      </c>
      <c r="C72">
        <v>1.3</v>
      </c>
      <c r="D72">
        <v>18</v>
      </c>
      <c r="E72" s="3">
        <f t="shared" si="3"/>
        <v>23.400000000000002</v>
      </c>
      <c r="F72" s="1">
        <v>-0.69853167999999999</v>
      </c>
      <c r="G72" s="3">
        <v>29.851781196581189</v>
      </c>
      <c r="H72">
        <f t="shared" si="4"/>
        <v>-6.8525957808000006</v>
      </c>
    </row>
    <row r="73" spans="1:8" x14ac:dyDescent="0.25">
      <c r="A73">
        <v>1384</v>
      </c>
      <c r="B73" s="2">
        <v>1469.11</v>
      </c>
      <c r="C73">
        <v>1.2</v>
      </c>
      <c r="D73">
        <v>18</v>
      </c>
      <c r="E73" s="3">
        <f t="shared" si="3"/>
        <v>21.599999999999998</v>
      </c>
      <c r="F73" s="1">
        <v>-0.67131615999999994</v>
      </c>
      <c r="G73" s="3">
        <v>31.079451851851854</v>
      </c>
      <c r="H73">
        <f t="shared" si="4"/>
        <v>-6.5856115295999995</v>
      </c>
    </row>
    <row r="74" spans="1:8" x14ac:dyDescent="0.25">
      <c r="A74">
        <v>1388</v>
      </c>
      <c r="B74" s="2">
        <v>1428.08</v>
      </c>
      <c r="C74">
        <v>1.1000000000000001</v>
      </c>
      <c r="D74">
        <v>18</v>
      </c>
      <c r="E74" s="3">
        <f t="shared" si="3"/>
        <v>19.8</v>
      </c>
      <c r="F74" s="1">
        <v>-0.63502879999999995</v>
      </c>
      <c r="G74" s="3">
        <v>32.072161616161608</v>
      </c>
      <c r="H74">
        <f t="shared" si="4"/>
        <v>-6.2296325279999998</v>
      </c>
    </row>
    <row r="75" spans="1:8" x14ac:dyDescent="0.25">
      <c r="A75">
        <v>1392</v>
      </c>
      <c r="B75" s="2">
        <v>1389.85</v>
      </c>
      <c r="C75">
        <v>1</v>
      </c>
      <c r="D75">
        <v>18</v>
      </c>
      <c r="E75" s="3">
        <f t="shared" si="3"/>
        <v>18</v>
      </c>
      <c r="F75" s="1">
        <v>-0.59874144000000007</v>
      </c>
      <c r="G75" s="3">
        <v>33.263413333333332</v>
      </c>
      <c r="H75">
        <f t="shared" si="4"/>
        <v>-5.8736535264000009</v>
      </c>
    </row>
    <row r="76" spans="1:8" x14ac:dyDescent="0.25">
      <c r="A76">
        <v>1396</v>
      </c>
      <c r="B76" s="2">
        <v>1343.98</v>
      </c>
      <c r="C76">
        <v>0.8</v>
      </c>
      <c r="D76">
        <v>18</v>
      </c>
      <c r="E76" s="3">
        <f t="shared" si="3"/>
        <v>14.4</v>
      </c>
      <c r="F76" s="1">
        <v>-0.55791815999999994</v>
      </c>
      <c r="G76" s="3">
        <v>38.744316666666663</v>
      </c>
      <c r="H76">
        <f t="shared" si="4"/>
        <v>-5.4731771495999997</v>
      </c>
    </row>
    <row r="77" spans="1:8" x14ac:dyDescent="0.25">
      <c r="A77">
        <v>1400</v>
      </c>
      <c r="B77" s="2">
        <v>1308.26</v>
      </c>
      <c r="C77">
        <v>0.8</v>
      </c>
      <c r="D77">
        <v>18</v>
      </c>
      <c r="E77" s="3">
        <f t="shared" si="3"/>
        <v>14.4</v>
      </c>
      <c r="F77" s="1">
        <v>-0.53070264</v>
      </c>
      <c r="G77" s="3">
        <v>36.854349999999997</v>
      </c>
      <c r="H77">
        <f t="shared" si="4"/>
        <v>-5.2061928984000003</v>
      </c>
    </row>
    <row r="78" spans="1:8" x14ac:dyDescent="0.25">
      <c r="A78">
        <v>1404</v>
      </c>
      <c r="B78" s="2">
        <v>1269.73</v>
      </c>
      <c r="C78">
        <v>0.7</v>
      </c>
      <c r="D78">
        <v>18</v>
      </c>
      <c r="E78" s="3">
        <f t="shared" si="3"/>
        <v>12.6</v>
      </c>
      <c r="F78" s="1">
        <v>-0.49441528000000001</v>
      </c>
      <c r="G78" s="3">
        <v>39.239307936507934</v>
      </c>
      <c r="H78">
        <f t="shared" si="4"/>
        <v>-4.8502138968000006</v>
      </c>
    </row>
    <row r="79" spans="1:8" x14ac:dyDescent="0.25">
      <c r="A79">
        <v>1408</v>
      </c>
      <c r="B79" s="2">
        <v>1228.6199999999999</v>
      </c>
      <c r="C79">
        <v>0.63</v>
      </c>
      <c r="D79">
        <v>18</v>
      </c>
      <c r="E79" s="3">
        <f t="shared" si="3"/>
        <v>11.34</v>
      </c>
      <c r="F79" s="1">
        <v>-0.46266383999999999</v>
      </c>
      <c r="G79" s="3">
        <v>40.799280423280422</v>
      </c>
      <c r="H79">
        <f t="shared" si="4"/>
        <v>-4.5387322704000006</v>
      </c>
    </row>
    <row r="80" spans="1:8" x14ac:dyDescent="0.25">
      <c r="A80">
        <v>1412</v>
      </c>
      <c r="B80" s="2">
        <v>1177.69</v>
      </c>
      <c r="C80">
        <v>0.53</v>
      </c>
      <c r="D80">
        <v>18</v>
      </c>
      <c r="E80" s="3">
        <f t="shared" si="3"/>
        <v>9.5400000000000009</v>
      </c>
      <c r="F80" s="1">
        <v>-0.43091239999999997</v>
      </c>
      <c r="G80" s="3">
        <v>45.169014675052402</v>
      </c>
      <c r="H80">
        <f t="shared" si="4"/>
        <v>-4.2272506439999997</v>
      </c>
    </row>
    <row r="81" spans="1:8" x14ac:dyDescent="0.25">
      <c r="A81">
        <v>1416</v>
      </c>
      <c r="B81" s="2">
        <v>1136.05</v>
      </c>
      <c r="C81">
        <v>0.5</v>
      </c>
      <c r="D81">
        <v>18</v>
      </c>
      <c r="E81" s="3">
        <f t="shared" si="3"/>
        <v>9</v>
      </c>
      <c r="F81" s="1">
        <v>-0.39916096000000001</v>
      </c>
      <c r="G81" s="3">
        <v>44.351217777777777</v>
      </c>
      <c r="H81">
        <f t="shared" si="4"/>
        <v>-3.9157690176000002</v>
      </c>
    </row>
    <row r="82" spans="1:8" x14ac:dyDescent="0.25">
      <c r="A82">
        <v>1420</v>
      </c>
      <c r="B82" s="2">
        <v>1090.18</v>
      </c>
      <c r="C82">
        <v>0.4</v>
      </c>
      <c r="D82">
        <v>18</v>
      </c>
      <c r="E82" s="3">
        <f t="shared" si="3"/>
        <v>7.2</v>
      </c>
      <c r="F82" s="1">
        <v>-0.36740952000000004</v>
      </c>
      <c r="G82" s="3">
        <v>51.0291</v>
      </c>
      <c r="H82">
        <f t="shared" si="4"/>
        <v>-3.6042873912000006</v>
      </c>
    </row>
    <row r="83" spans="1:8" x14ac:dyDescent="0.25">
      <c r="A83">
        <v>1424</v>
      </c>
      <c r="B83" s="2">
        <v>1038.6500000000001</v>
      </c>
      <c r="C83">
        <v>0.4</v>
      </c>
      <c r="D83">
        <v>18</v>
      </c>
      <c r="E83" s="3">
        <f t="shared" si="3"/>
        <v>7.2</v>
      </c>
      <c r="F83" s="1">
        <v>-0.33565807999999997</v>
      </c>
      <c r="G83" s="3">
        <v>46.619177777777772</v>
      </c>
      <c r="H83">
        <f t="shared" si="4"/>
        <v>-3.2928057647999998</v>
      </c>
    </row>
    <row r="84" spans="1:8" x14ac:dyDescent="0.25">
      <c r="A84">
        <v>1428</v>
      </c>
      <c r="B84" s="2">
        <v>989.05</v>
      </c>
      <c r="C84">
        <v>0.3</v>
      </c>
      <c r="D84">
        <v>18</v>
      </c>
      <c r="E84" s="3">
        <f t="shared" si="3"/>
        <v>5.3999999999999995</v>
      </c>
      <c r="F84" s="1">
        <v>-0.30390664000000001</v>
      </c>
      <c r="G84" s="3">
        <v>56.279007407407413</v>
      </c>
      <c r="H84">
        <f t="shared" si="4"/>
        <v>-2.9813241384000002</v>
      </c>
    </row>
    <row r="85" spans="1:8" x14ac:dyDescent="0.25">
      <c r="A85">
        <v>1432</v>
      </c>
      <c r="B85" s="2">
        <v>934.9</v>
      </c>
      <c r="C85">
        <v>0.3</v>
      </c>
      <c r="D85">
        <v>18</v>
      </c>
      <c r="E85" s="3">
        <f t="shared" si="3"/>
        <v>5.3999999999999995</v>
      </c>
      <c r="F85" s="1">
        <v>-0.27215519999999999</v>
      </c>
      <c r="G85" s="3">
        <v>50.399111111111111</v>
      </c>
      <c r="H85">
        <f t="shared" si="4"/>
        <v>-2.6698425119999998</v>
      </c>
    </row>
    <row r="86" spans="1:8" x14ac:dyDescent="0.25">
      <c r="A86">
        <v>1436</v>
      </c>
      <c r="B86" s="2">
        <v>883.7</v>
      </c>
      <c r="C86">
        <v>0.2</v>
      </c>
      <c r="D86">
        <v>18</v>
      </c>
      <c r="E86" s="3">
        <f t="shared" si="3"/>
        <v>3.6</v>
      </c>
      <c r="F86" s="1">
        <v>-0.24040376000000002</v>
      </c>
      <c r="G86" s="3">
        <v>66.778822222222217</v>
      </c>
      <c r="H86">
        <f t="shared" si="4"/>
        <v>-2.3583608856000002</v>
      </c>
    </row>
    <row r="87" spans="1:8" x14ac:dyDescent="0.25">
      <c r="A87">
        <v>1440</v>
      </c>
      <c r="B87" s="2">
        <v>823.43</v>
      </c>
      <c r="C87">
        <v>0.2</v>
      </c>
      <c r="D87">
        <v>18</v>
      </c>
      <c r="E87" s="3">
        <f t="shared" si="3"/>
        <v>3.6</v>
      </c>
      <c r="F87" s="1">
        <v>-0.20865232</v>
      </c>
      <c r="G87" s="3">
        <v>57.958977777777775</v>
      </c>
      <c r="H87">
        <f t="shared" si="4"/>
        <v>-2.0468792592000002</v>
      </c>
    </row>
    <row r="88" spans="1:8" x14ac:dyDescent="0.25">
      <c r="A88">
        <v>1444</v>
      </c>
      <c r="B88" s="2">
        <v>760.35</v>
      </c>
      <c r="C88">
        <v>0.2</v>
      </c>
      <c r="D88">
        <v>18</v>
      </c>
      <c r="E88" s="3">
        <f t="shared" si="3"/>
        <v>3.6</v>
      </c>
      <c r="F88" s="1">
        <v>-0.18143680000000001</v>
      </c>
      <c r="G88" s="3">
        <v>50.399111111111111</v>
      </c>
      <c r="H88">
        <f t="shared" si="4"/>
        <v>-1.7798950080000002</v>
      </c>
    </row>
    <row r="89" spans="1:8" x14ac:dyDescent="0.25">
      <c r="A89">
        <v>1448</v>
      </c>
      <c r="B89" s="2">
        <v>703.12</v>
      </c>
      <c r="C89">
        <v>0.1</v>
      </c>
      <c r="D89">
        <v>18</v>
      </c>
      <c r="E89" s="3">
        <f t="shared" si="3"/>
        <v>1.8</v>
      </c>
      <c r="F89" s="1">
        <v>-0.15422128000000002</v>
      </c>
      <c r="G89" s="3">
        <v>85.678488888888893</v>
      </c>
      <c r="H89">
        <f t="shared" si="4"/>
        <v>-1.5129107568000002</v>
      </c>
    </row>
    <row r="90" spans="1:8" x14ac:dyDescent="0.25">
      <c r="A90">
        <v>1452</v>
      </c>
      <c r="B90" s="2">
        <v>637.9</v>
      </c>
      <c r="C90">
        <v>0.1</v>
      </c>
      <c r="D90">
        <v>18</v>
      </c>
      <c r="E90" s="3">
        <f t="shared" si="3"/>
        <v>1.8</v>
      </c>
      <c r="F90" s="1">
        <v>-0.12700576000000002</v>
      </c>
      <c r="G90" s="3">
        <v>70.558755555555564</v>
      </c>
      <c r="H90">
        <f t="shared" si="4"/>
        <v>-1.2459265056000004</v>
      </c>
    </row>
    <row r="91" spans="1:8" x14ac:dyDescent="0.25">
      <c r="A91">
        <v>1456</v>
      </c>
      <c r="B91" s="2">
        <v>575.01</v>
      </c>
      <c r="C91">
        <v>0.1</v>
      </c>
      <c r="D91">
        <v>18</v>
      </c>
      <c r="E91" s="3">
        <f t="shared" si="3"/>
        <v>1.8</v>
      </c>
      <c r="F91" s="1">
        <v>-0.10432616</v>
      </c>
      <c r="G91" s="3">
        <v>57.958977777777775</v>
      </c>
      <c r="H91">
        <f t="shared" si="4"/>
        <v>-1.0234396296000001</v>
      </c>
    </row>
    <row r="92" spans="1:8" x14ac:dyDescent="0.25">
      <c r="A92">
        <v>1460</v>
      </c>
      <c r="B92" s="2">
        <v>501.11</v>
      </c>
      <c r="C92">
        <v>0.05</v>
      </c>
      <c r="D92">
        <v>18</v>
      </c>
      <c r="E92" s="3">
        <f t="shared" si="3"/>
        <v>0.9</v>
      </c>
      <c r="F92" s="1">
        <v>-7.7110640000000008E-2</v>
      </c>
      <c r="G92" s="3">
        <v>85.678488888888893</v>
      </c>
      <c r="H92">
        <f t="shared" si="4"/>
        <v>-0.7564553784000001</v>
      </c>
    </row>
    <row r="93" spans="1:8" x14ac:dyDescent="0.25">
      <c r="A93">
        <v>1464</v>
      </c>
      <c r="B93" s="2">
        <v>428.39</v>
      </c>
      <c r="C93">
        <v>0.05</v>
      </c>
      <c r="D93">
        <v>18</v>
      </c>
      <c r="E93" s="3">
        <f t="shared" si="3"/>
        <v>0.9</v>
      </c>
      <c r="F93" s="1">
        <v>-5.8966959999999999E-2</v>
      </c>
      <c r="G93" s="3">
        <v>65.51884444444444</v>
      </c>
      <c r="H93">
        <f t="shared" si="4"/>
        <v>-0.57846587760000001</v>
      </c>
    </row>
    <row r="94" spans="1:8" x14ac:dyDescent="0.25">
      <c r="A94">
        <v>1468</v>
      </c>
      <c r="B94" s="2">
        <v>357.47</v>
      </c>
      <c r="C94">
        <v>0.05</v>
      </c>
      <c r="D94">
        <v>18</v>
      </c>
      <c r="E94" s="3">
        <f t="shared" si="3"/>
        <v>0.9</v>
      </c>
      <c r="F94" s="1">
        <v>-4.5359199999999995E-2</v>
      </c>
      <c r="G94" s="3">
        <v>50.399111111111104</v>
      </c>
      <c r="H94">
        <f t="shared" si="4"/>
        <v>-0.444973752</v>
      </c>
    </row>
    <row r="95" spans="1:8" x14ac:dyDescent="0.25">
      <c r="A95">
        <v>1472</v>
      </c>
      <c r="B95" s="2">
        <v>0</v>
      </c>
      <c r="C95">
        <v>0</v>
      </c>
      <c r="D95">
        <v>18</v>
      </c>
      <c r="E95" s="3">
        <f t="shared" si="3"/>
        <v>0</v>
      </c>
      <c r="F95" s="1">
        <v>0</v>
      </c>
      <c r="G95" s="3">
        <v>0</v>
      </c>
      <c r="H95">
        <f t="shared" si="4"/>
        <v>0</v>
      </c>
    </row>
    <row r="96" spans="1:8" x14ac:dyDescent="0.25">
      <c r="A96">
        <v>1476</v>
      </c>
      <c r="B96" s="2">
        <v>0</v>
      </c>
      <c r="C96">
        <v>0</v>
      </c>
      <c r="D96">
        <v>18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</row>
    <row r="97" spans="1:8" x14ac:dyDescent="0.25">
      <c r="A97">
        <v>1480</v>
      </c>
      <c r="B97" s="2">
        <v>0</v>
      </c>
      <c r="C97">
        <v>0</v>
      </c>
      <c r="D97">
        <v>18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</row>
    <row r="98" spans="1:8" x14ac:dyDescent="0.25">
      <c r="A98">
        <v>1484</v>
      </c>
      <c r="B98" s="2">
        <v>0</v>
      </c>
      <c r="C98">
        <v>0</v>
      </c>
      <c r="D98">
        <v>18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</row>
    <row r="99" spans="1:8" x14ac:dyDescent="0.25">
      <c r="A99">
        <v>1488</v>
      </c>
      <c r="B99" s="2">
        <v>0</v>
      </c>
      <c r="C99">
        <v>0</v>
      </c>
      <c r="D99">
        <v>18</v>
      </c>
      <c r="E99" s="3">
        <f t="shared" ref="E99:E102" si="5">D99*C99</f>
        <v>0</v>
      </c>
      <c r="F99" s="1">
        <v>0</v>
      </c>
      <c r="G99" s="3">
        <v>0</v>
      </c>
      <c r="H99">
        <f t="shared" si="4"/>
        <v>0</v>
      </c>
    </row>
    <row r="100" spans="1:8" x14ac:dyDescent="0.25">
      <c r="A100">
        <v>1492</v>
      </c>
      <c r="B100" s="2">
        <v>0</v>
      </c>
      <c r="C100">
        <v>0</v>
      </c>
      <c r="D100">
        <v>18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</row>
    <row r="101" spans="1:8" x14ac:dyDescent="0.25">
      <c r="A101">
        <v>1496</v>
      </c>
      <c r="B101" s="2">
        <v>0</v>
      </c>
      <c r="C101">
        <v>0</v>
      </c>
      <c r="D101">
        <v>18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</row>
    <row r="102" spans="1:8" x14ac:dyDescent="0.25">
      <c r="A102">
        <v>1500</v>
      </c>
      <c r="B102" s="2">
        <v>0</v>
      </c>
      <c r="C102">
        <v>0</v>
      </c>
      <c r="D102">
        <v>18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</row>
    <row r="103" spans="1:8" x14ac:dyDescent="0.25">
      <c r="A103">
        <v>1504</v>
      </c>
      <c r="B103" s="2">
        <v>0</v>
      </c>
      <c r="C103">
        <v>0</v>
      </c>
      <c r="D103">
        <v>18</v>
      </c>
      <c r="E103" s="3">
        <f t="shared" ref="E103:E166" si="6">D103*C103</f>
        <v>0</v>
      </c>
      <c r="F103" s="1">
        <v>0</v>
      </c>
      <c r="G103" s="3">
        <v>0</v>
      </c>
      <c r="H103">
        <f t="shared" si="4"/>
        <v>0</v>
      </c>
    </row>
    <row r="104" spans="1:8" x14ac:dyDescent="0.25">
      <c r="A104">
        <v>1508</v>
      </c>
      <c r="B104" s="2">
        <v>0</v>
      </c>
      <c r="C104">
        <v>0</v>
      </c>
      <c r="D104">
        <v>18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</row>
    <row r="105" spans="1:8" x14ac:dyDescent="0.25">
      <c r="A105">
        <v>1512</v>
      </c>
      <c r="B105" s="2">
        <v>0</v>
      </c>
      <c r="C105">
        <v>0</v>
      </c>
      <c r="D105">
        <v>18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</row>
    <row r="106" spans="1:8" x14ac:dyDescent="0.25">
      <c r="A106">
        <v>1516</v>
      </c>
      <c r="B106" s="2">
        <v>0</v>
      </c>
      <c r="C106">
        <v>0</v>
      </c>
      <c r="D106">
        <v>18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</row>
    <row r="107" spans="1:8" x14ac:dyDescent="0.25">
      <c r="A107">
        <v>1520</v>
      </c>
      <c r="B107" s="2">
        <v>0</v>
      </c>
      <c r="C107">
        <v>0</v>
      </c>
      <c r="D107">
        <v>18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</row>
    <row r="108" spans="1:8" x14ac:dyDescent="0.25">
      <c r="A108">
        <v>1524</v>
      </c>
      <c r="B108" s="2">
        <v>0</v>
      </c>
      <c r="C108">
        <v>0</v>
      </c>
      <c r="D108">
        <v>18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</row>
    <row r="109" spans="1:8" x14ac:dyDescent="0.25">
      <c r="A109">
        <v>1528</v>
      </c>
      <c r="B109" s="2">
        <v>0</v>
      </c>
      <c r="C109">
        <v>0</v>
      </c>
      <c r="D109">
        <v>18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</row>
    <row r="110" spans="1:8" x14ac:dyDescent="0.25">
      <c r="A110">
        <v>1532</v>
      </c>
      <c r="B110" s="2">
        <v>347.39</v>
      </c>
      <c r="C110">
        <v>0.05</v>
      </c>
      <c r="D110">
        <v>18</v>
      </c>
      <c r="E110" s="3">
        <f t="shared" si="6"/>
        <v>0.9</v>
      </c>
      <c r="F110" s="1">
        <v>4.5359199999999995E-2</v>
      </c>
      <c r="G110" s="3">
        <v>50.399111111111104</v>
      </c>
      <c r="H110">
        <f t="shared" si="4"/>
        <v>0.444973752</v>
      </c>
    </row>
    <row r="111" spans="1:8" x14ac:dyDescent="0.25">
      <c r="A111">
        <v>1536</v>
      </c>
      <c r="B111" s="2">
        <v>423.81</v>
      </c>
      <c r="C111">
        <v>0.05</v>
      </c>
      <c r="D111">
        <v>18</v>
      </c>
      <c r="E111" s="3">
        <f t="shared" si="6"/>
        <v>0.9</v>
      </c>
      <c r="F111" s="1">
        <v>6.803880000000001E-2</v>
      </c>
      <c r="G111" s="3">
        <v>75.598666666666674</v>
      </c>
      <c r="H111">
        <f t="shared" si="4"/>
        <v>0.66746062800000017</v>
      </c>
    </row>
    <row r="112" spans="1:8" x14ac:dyDescent="0.25">
      <c r="A112">
        <v>1540</v>
      </c>
      <c r="B112" s="2">
        <v>493.76</v>
      </c>
      <c r="C112">
        <v>0.05</v>
      </c>
      <c r="D112">
        <v>18</v>
      </c>
      <c r="E112" s="3">
        <f t="shared" si="6"/>
        <v>0.9</v>
      </c>
      <c r="F112" s="1">
        <v>9.0718400000000005E-2</v>
      </c>
      <c r="G112" s="3">
        <v>100.79822222222222</v>
      </c>
      <c r="H112">
        <f t="shared" si="4"/>
        <v>0.88994750400000011</v>
      </c>
    </row>
    <row r="113" spans="1:8" x14ac:dyDescent="0.25">
      <c r="A113">
        <v>1544</v>
      </c>
      <c r="B113" s="2">
        <v>562.22</v>
      </c>
      <c r="C113">
        <v>0.1</v>
      </c>
      <c r="D113">
        <v>18</v>
      </c>
      <c r="E113" s="3">
        <f t="shared" si="6"/>
        <v>1.8</v>
      </c>
      <c r="F113" s="1">
        <v>0.12246984000000001</v>
      </c>
      <c r="G113" s="3">
        <v>68.038799999999995</v>
      </c>
      <c r="H113">
        <f t="shared" si="4"/>
        <v>1.2014291304000002</v>
      </c>
    </row>
    <row r="114" spans="1:8" x14ac:dyDescent="0.25">
      <c r="A114">
        <v>1548</v>
      </c>
      <c r="B114" s="2">
        <v>623.97</v>
      </c>
      <c r="C114">
        <v>0.1</v>
      </c>
      <c r="D114">
        <v>18</v>
      </c>
      <c r="E114" s="3">
        <f t="shared" si="6"/>
        <v>1.8</v>
      </c>
      <c r="F114" s="1">
        <v>0.14968536000000002</v>
      </c>
      <c r="G114" s="3">
        <v>83.158533333333338</v>
      </c>
      <c r="H114">
        <f t="shared" si="4"/>
        <v>1.4684133816000002</v>
      </c>
    </row>
    <row r="115" spans="1:8" x14ac:dyDescent="0.25">
      <c r="A115">
        <v>1552</v>
      </c>
      <c r="B115" s="2">
        <v>685.56</v>
      </c>
      <c r="C115">
        <v>0.1</v>
      </c>
      <c r="D115">
        <v>18</v>
      </c>
      <c r="E115" s="3">
        <f t="shared" si="6"/>
        <v>1.8</v>
      </c>
      <c r="F115" s="1">
        <v>0.18143680000000001</v>
      </c>
      <c r="G115" s="3">
        <v>100.79822222222222</v>
      </c>
      <c r="H115">
        <f t="shared" si="4"/>
        <v>1.7798950080000002</v>
      </c>
    </row>
    <row r="116" spans="1:8" x14ac:dyDescent="0.25">
      <c r="A116">
        <v>1556</v>
      </c>
      <c r="B116" s="2">
        <v>744.59</v>
      </c>
      <c r="C116">
        <v>0.2</v>
      </c>
      <c r="D116">
        <v>18</v>
      </c>
      <c r="E116" s="3">
        <f t="shared" si="6"/>
        <v>3.6</v>
      </c>
      <c r="F116" s="1">
        <v>0.21318824</v>
      </c>
      <c r="G116" s="3">
        <v>59.218955555555553</v>
      </c>
      <c r="H116">
        <f t="shared" si="4"/>
        <v>2.0913766344</v>
      </c>
    </row>
    <row r="117" spans="1:8" x14ac:dyDescent="0.25">
      <c r="A117">
        <v>1560</v>
      </c>
      <c r="B117" s="2">
        <v>804.58</v>
      </c>
      <c r="C117">
        <v>0.2</v>
      </c>
      <c r="D117">
        <v>18</v>
      </c>
      <c r="E117" s="3">
        <f t="shared" si="6"/>
        <v>3.6</v>
      </c>
      <c r="F117" s="1">
        <v>0.24947560000000002</v>
      </c>
      <c r="G117" s="3">
        <v>69.298777777777786</v>
      </c>
      <c r="H117">
        <f t="shared" si="4"/>
        <v>2.4473556360000002</v>
      </c>
    </row>
    <row r="118" spans="1:8" x14ac:dyDescent="0.25">
      <c r="A118">
        <v>1564</v>
      </c>
      <c r="B118" s="2">
        <v>856.31</v>
      </c>
      <c r="C118">
        <v>0.2</v>
      </c>
      <c r="D118">
        <v>18</v>
      </c>
      <c r="E118" s="3">
        <f t="shared" si="6"/>
        <v>3.6</v>
      </c>
      <c r="F118" s="1">
        <v>0.28576296000000001</v>
      </c>
      <c r="G118" s="3">
        <v>79.378599999999992</v>
      </c>
      <c r="H118">
        <f t="shared" si="4"/>
        <v>2.8033346376000003</v>
      </c>
    </row>
    <row r="119" spans="1:8" x14ac:dyDescent="0.25">
      <c r="A119">
        <v>1568</v>
      </c>
      <c r="B119" s="2">
        <v>906.34</v>
      </c>
      <c r="C119">
        <v>0.3</v>
      </c>
      <c r="D119">
        <v>18</v>
      </c>
      <c r="E119" s="3">
        <f t="shared" si="6"/>
        <v>5.3999999999999995</v>
      </c>
      <c r="F119" s="1">
        <v>0.31751439999999997</v>
      </c>
      <c r="G119" s="3">
        <v>58.79896296296296</v>
      </c>
      <c r="H119">
        <f t="shared" si="4"/>
        <v>3.1148162639999999</v>
      </c>
    </row>
    <row r="120" spans="1:8" x14ac:dyDescent="0.25">
      <c r="A120">
        <v>1572</v>
      </c>
      <c r="B120" s="2">
        <v>958.79</v>
      </c>
      <c r="C120">
        <v>0.3</v>
      </c>
      <c r="D120">
        <v>18</v>
      </c>
      <c r="E120" s="3">
        <f t="shared" si="6"/>
        <v>5.3999999999999995</v>
      </c>
      <c r="F120" s="1">
        <v>0.35833767999999999</v>
      </c>
      <c r="G120" s="3">
        <v>66.358829629629625</v>
      </c>
      <c r="H120">
        <f t="shared" si="4"/>
        <v>3.5152926408000003</v>
      </c>
    </row>
    <row r="121" spans="1:8" x14ac:dyDescent="0.25">
      <c r="A121">
        <v>1576</v>
      </c>
      <c r="B121" s="2">
        <v>1008.73</v>
      </c>
      <c r="C121">
        <v>0.4</v>
      </c>
      <c r="D121">
        <v>18</v>
      </c>
      <c r="E121" s="3">
        <f t="shared" si="6"/>
        <v>7.2</v>
      </c>
      <c r="F121" s="1">
        <v>0.39008912000000001</v>
      </c>
      <c r="G121" s="3">
        <v>54.179044444444443</v>
      </c>
      <c r="H121">
        <f t="shared" si="4"/>
        <v>3.8267742672000002</v>
      </c>
    </row>
    <row r="122" spans="1:8" x14ac:dyDescent="0.25">
      <c r="A122">
        <v>1580</v>
      </c>
      <c r="B122" s="2">
        <v>1051.71</v>
      </c>
      <c r="C122">
        <v>0.4</v>
      </c>
      <c r="D122">
        <v>18</v>
      </c>
      <c r="E122" s="3">
        <f t="shared" si="6"/>
        <v>7.2</v>
      </c>
      <c r="F122" s="1">
        <v>0.42637648</v>
      </c>
      <c r="G122" s="3">
        <v>59.218955555555553</v>
      </c>
      <c r="H122">
        <f t="shared" si="4"/>
        <v>4.1827532688</v>
      </c>
    </row>
    <row r="123" spans="1:8" x14ac:dyDescent="0.25">
      <c r="A123">
        <v>1584</v>
      </c>
      <c r="B123" s="2">
        <v>1098.94</v>
      </c>
      <c r="C123">
        <v>0.5</v>
      </c>
      <c r="D123">
        <v>18</v>
      </c>
      <c r="E123" s="3">
        <f t="shared" si="6"/>
        <v>9</v>
      </c>
      <c r="F123" s="1">
        <v>0.47173567999999999</v>
      </c>
      <c r="G123" s="3">
        <v>52.415075555555553</v>
      </c>
      <c r="H123">
        <f t="shared" si="4"/>
        <v>4.6277270208000001</v>
      </c>
    </row>
    <row r="124" spans="1:8" x14ac:dyDescent="0.25">
      <c r="A124">
        <v>1588</v>
      </c>
      <c r="B124" s="2">
        <v>1140.17</v>
      </c>
      <c r="C124">
        <v>0.5</v>
      </c>
      <c r="D124">
        <v>18</v>
      </c>
      <c r="E124" s="3">
        <f t="shared" si="6"/>
        <v>9</v>
      </c>
      <c r="F124" s="1">
        <v>0.50802304000000009</v>
      </c>
      <c r="G124" s="3">
        <v>56.447004444444445</v>
      </c>
      <c r="H124">
        <f t="shared" si="4"/>
        <v>4.9837060224000016</v>
      </c>
    </row>
    <row r="125" spans="1:8" x14ac:dyDescent="0.25">
      <c r="A125">
        <v>1592</v>
      </c>
      <c r="B125" s="2">
        <v>1183.8599999999999</v>
      </c>
      <c r="C125">
        <v>0.6</v>
      </c>
      <c r="D125">
        <v>18</v>
      </c>
      <c r="E125" s="3">
        <f t="shared" si="6"/>
        <v>10.799999999999999</v>
      </c>
      <c r="F125" s="1">
        <v>0.54884632</v>
      </c>
      <c r="G125" s="3">
        <v>50.819103703703711</v>
      </c>
      <c r="H125">
        <f t="shared" si="4"/>
        <v>5.3841823992000002</v>
      </c>
    </row>
    <row r="126" spans="1:8" x14ac:dyDescent="0.25">
      <c r="A126">
        <v>1596</v>
      </c>
      <c r="B126" s="2">
        <v>1226.74</v>
      </c>
      <c r="C126">
        <v>0.7</v>
      </c>
      <c r="D126">
        <v>18</v>
      </c>
      <c r="E126" s="3">
        <f t="shared" si="6"/>
        <v>12.6</v>
      </c>
      <c r="F126" s="1">
        <v>0.58513367999999999</v>
      </c>
      <c r="G126" s="3">
        <v>46.439180952380958</v>
      </c>
      <c r="H126">
        <f t="shared" si="4"/>
        <v>5.7401614007999999</v>
      </c>
    </row>
    <row r="127" spans="1:8" x14ac:dyDescent="0.25">
      <c r="A127">
        <v>1600</v>
      </c>
      <c r="B127" s="2">
        <v>1266.57</v>
      </c>
      <c r="C127">
        <v>0.8</v>
      </c>
      <c r="D127">
        <v>18</v>
      </c>
      <c r="E127" s="3">
        <f t="shared" si="6"/>
        <v>14.4</v>
      </c>
      <c r="F127" s="1">
        <v>0.62595696000000001</v>
      </c>
      <c r="G127" s="3">
        <v>43.469233333333328</v>
      </c>
      <c r="H127">
        <f t="shared" si="4"/>
        <v>6.1406377776000003</v>
      </c>
    </row>
    <row r="128" spans="1:8" x14ac:dyDescent="0.25">
      <c r="A128">
        <v>1604</v>
      </c>
      <c r="B128" s="2">
        <v>1300.8499999999999</v>
      </c>
      <c r="C128">
        <v>0.88</v>
      </c>
      <c r="D128">
        <v>18</v>
      </c>
      <c r="E128" s="3">
        <f t="shared" si="6"/>
        <v>15.84</v>
      </c>
      <c r="F128" s="1">
        <v>0.66678024000000002</v>
      </c>
      <c r="G128" s="3">
        <v>42.094712121212119</v>
      </c>
      <c r="H128">
        <f t="shared" si="4"/>
        <v>6.5411141544000007</v>
      </c>
    </row>
    <row r="129" spans="1:8" x14ac:dyDescent="0.25">
      <c r="A129">
        <v>1608</v>
      </c>
      <c r="B129" s="2">
        <v>1340.66</v>
      </c>
      <c r="C129">
        <v>1</v>
      </c>
      <c r="D129">
        <v>18</v>
      </c>
      <c r="E129" s="3">
        <f t="shared" si="6"/>
        <v>18</v>
      </c>
      <c r="F129" s="1">
        <v>0.69853167999999999</v>
      </c>
      <c r="G129" s="3">
        <v>38.807315555555554</v>
      </c>
      <c r="H129">
        <f t="shared" si="4"/>
        <v>6.8525957808000006</v>
      </c>
    </row>
    <row r="130" spans="1:8" x14ac:dyDescent="0.25">
      <c r="A130">
        <v>1612</v>
      </c>
      <c r="B130" s="2">
        <v>1377.17</v>
      </c>
      <c r="C130">
        <v>1</v>
      </c>
      <c r="D130">
        <v>18</v>
      </c>
      <c r="E130" s="3">
        <f t="shared" si="6"/>
        <v>18</v>
      </c>
      <c r="F130" s="1">
        <v>0.75749864</v>
      </c>
      <c r="G130" s="3">
        <v>42.083257777777774</v>
      </c>
      <c r="H130">
        <f t="shared" si="4"/>
        <v>7.4310616584</v>
      </c>
    </row>
    <row r="131" spans="1:8" x14ac:dyDescent="0.25">
      <c r="A131">
        <v>1616</v>
      </c>
      <c r="B131" s="2">
        <v>1418.54</v>
      </c>
      <c r="C131">
        <v>1.2</v>
      </c>
      <c r="D131">
        <v>18</v>
      </c>
      <c r="E131" s="3">
        <f t="shared" si="6"/>
        <v>21.599999999999998</v>
      </c>
      <c r="F131" s="1">
        <v>0.80285784000000004</v>
      </c>
      <c r="G131" s="3">
        <v>37.169344444444448</v>
      </c>
      <c r="H131">
        <f t="shared" ref="H131:H194" si="7">F131*9.81</f>
        <v>7.876035410400001</v>
      </c>
    </row>
    <row r="132" spans="1:8" x14ac:dyDescent="0.25">
      <c r="A132">
        <v>1620</v>
      </c>
      <c r="B132" s="2">
        <v>1455.85</v>
      </c>
      <c r="C132">
        <v>1.3</v>
      </c>
      <c r="D132">
        <v>18</v>
      </c>
      <c r="E132" s="3">
        <f t="shared" si="6"/>
        <v>23.400000000000002</v>
      </c>
      <c r="F132" s="1">
        <v>0.83914520000000004</v>
      </c>
      <c r="G132" s="3">
        <v>35.860905982905983</v>
      </c>
      <c r="H132">
        <f t="shared" si="7"/>
        <v>8.2320144120000016</v>
      </c>
    </row>
    <row r="133" spans="1:8" x14ac:dyDescent="0.25">
      <c r="A133">
        <v>1624</v>
      </c>
      <c r="B133" s="2">
        <v>1493.24</v>
      </c>
      <c r="C133">
        <v>1.38</v>
      </c>
      <c r="D133">
        <v>18</v>
      </c>
      <c r="E133" s="3">
        <f t="shared" si="6"/>
        <v>24.839999999999996</v>
      </c>
      <c r="F133" s="1">
        <v>0.87996847999999994</v>
      </c>
      <c r="G133" s="3">
        <v>35.425462157809989</v>
      </c>
      <c r="H133">
        <f t="shared" si="7"/>
        <v>8.6324907888000002</v>
      </c>
    </row>
    <row r="134" spans="1:8" x14ac:dyDescent="0.25">
      <c r="A134">
        <v>1628</v>
      </c>
      <c r="B134" s="2">
        <v>1527.26</v>
      </c>
      <c r="C134">
        <v>1.5</v>
      </c>
      <c r="D134">
        <v>18</v>
      </c>
      <c r="E134" s="3">
        <f t="shared" si="6"/>
        <v>27</v>
      </c>
      <c r="F134" s="1">
        <v>0.91625583999999982</v>
      </c>
      <c r="G134" s="3">
        <v>33.935401481481478</v>
      </c>
      <c r="H134">
        <f t="shared" si="7"/>
        <v>8.9884697903999982</v>
      </c>
    </row>
    <row r="135" spans="1:8" x14ac:dyDescent="0.25">
      <c r="A135">
        <v>1632</v>
      </c>
      <c r="B135" s="2">
        <v>1564.25</v>
      </c>
      <c r="C135">
        <v>1.6</v>
      </c>
      <c r="D135">
        <v>18</v>
      </c>
      <c r="E135" s="3">
        <f t="shared" si="6"/>
        <v>28.8</v>
      </c>
      <c r="F135" s="1">
        <v>0.96615095999999989</v>
      </c>
      <c r="G135" s="3">
        <v>33.546908333333327</v>
      </c>
      <c r="H135">
        <f t="shared" si="7"/>
        <v>9.4779409175999998</v>
      </c>
    </row>
    <row r="136" spans="1:8" x14ac:dyDescent="0.25">
      <c r="A136">
        <v>1636</v>
      </c>
      <c r="B136" s="2">
        <v>1598.54</v>
      </c>
      <c r="C136">
        <v>1.7</v>
      </c>
      <c r="D136">
        <v>18</v>
      </c>
      <c r="E136" s="3">
        <f t="shared" si="6"/>
        <v>30.599999999999998</v>
      </c>
      <c r="F136" s="1">
        <v>1.01604608</v>
      </c>
      <c r="G136" s="3">
        <v>33.204120261437907</v>
      </c>
      <c r="H136">
        <f t="shared" si="7"/>
        <v>9.9674120447999996</v>
      </c>
    </row>
    <row r="137" spans="1:8" x14ac:dyDescent="0.25">
      <c r="A137">
        <v>1640</v>
      </c>
      <c r="B137" s="2">
        <v>1637.39</v>
      </c>
      <c r="C137">
        <v>1.83</v>
      </c>
      <c r="D137">
        <v>18</v>
      </c>
      <c r="E137" s="3">
        <f t="shared" si="6"/>
        <v>32.94</v>
      </c>
      <c r="F137" s="1">
        <v>1.0750130399999998</v>
      </c>
      <c r="G137" s="3">
        <v>32.635489981785064</v>
      </c>
      <c r="H137">
        <f t="shared" si="7"/>
        <v>10.545877922399999</v>
      </c>
    </row>
    <row r="138" spans="1:8" x14ac:dyDescent="0.25">
      <c r="A138">
        <v>1644</v>
      </c>
      <c r="B138" s="2">
        <v>1678.8</v>
      </c>
      <c r="C138">
        <v>2</v>
      </c>
      <c r="D138">
        <v>18</v>
      </c>
      <c r="E138" s="3">
        <f t="shared" si="6"/>
        <v>36</v>
      </c>
      <c r="F138" s="1">
        <v>1.13398</v>
      </c>
      <c r="G138" s="3">
        <v>31.499444444444446</v>
      </c>
      <c r="H138">
        <f t="shared" si="7"/>
        <v>11.1243438</v>
      </c>
    </row>
    <row r="139" spans="1:8" x14ac:dyDescent="0.25">
      <c r="A139">
        <v>1648</v>
      </c>
      <c r="B139" s="2">
        <v>1716.08</v>
      </c>
      <c r="C139">
        <v>2.1</v>
      </c>
      <c r="D139">
        <v>18</v>
      </c>
      <c r="E139" s="3">
        <f t="shared" si="6"/>
        <v>37.800000000000004</v>
      </c>
      <c r="F139" s="1">
        <v>1.1793391999999998</v>
      </c>
      <c r="G139" s="3">
        <v>31.199449735449729</v>
      </c>
      <c r="H139">
        <f t="shared" si="7"/>
        <v>11.569317551999999</v>
      </c>
    </row>
    <row r="140" spans="1:8" x14ac:dyDescent="0.25">
      <c r="A140">
        <v>1652</v>
      </c>
      <c r="B140" s="2">
        <v>1747.18</v>
      </c>
      <c r="C140">
        <v>2.2999999999999998</v>
      </c>
      <c r="D140">
        <v>18</v>
      </c>
      <c r="E140" s="3">
        <f t="shared" si="6"/>
        <v>41.4</v>
      </c>
      <c r="F140" s="1">
        <v>1.2246983999999999</v>
      </c>
      <c r="G140" s="3">
        <v>29.582086956521735</v>
      </c>
      <c r="H140">
        <f t="shared" si="7"/>
        <v>12.014291303999999</v>
      </c>
    </row>
    <row r="141" spans="1:8" x14ac:dyDescent="0.25">
      <c r="A141">
        <v>1656</v>
      </c>
      <c r="B141" s="2">
        <v>1782.7</v>
      </c>
      <c r="C141">
        <v>2.4700000000000002</v>
      </c>
      <c r="D141">
        <v>18</v>
      </c>
      <c r="E141" s="3">
        <f t="shared" si="6"/>
        <v>44.46</v>
      </c>
      <c r="F141" s="1">
        <v>1.27912944</v>
      </c>
      <c r="G141" s="3">
        <v>28.77034278002699</v>
      </c>
      <c r="H141">
        <f t="shared" si="7"/>
        <v>12.548259806400001</v>
      </c>
    </row>
    <row r="142" spans="1:8" x14ac:dyDescent="0.25">
      <c r="A142">
        <v>1660</v>
      </c>
      <c r="B142" s="2">
        <v>1816.82</v>
      </c>
      <c r="C142">
        <v>2.7</v>
      </c>
      <c r="D142">
        <v>18</v>
      </c>
      <c r="E142" s="3">
        <f t="shared" si="6"/>
        <v>48.6</v>
      </c>
      <c r="F142" s="1">
        <v>1.3199527199999999</v>
      </c>
      <c r="G142" s="3">
        <v>27.159520987654314</v>
      </c>
      <c r="H142">
        <f t="shared" si="7"/>
        <v>12.948736183199999</v>
      </c>
    </row>
    <row r="143" spans="1:8" x14ac:dyDescent="0.25">
      <c r="A143">
        <v>1664</v>
      </c>
      <c r="B143" s="2">
        <v>1851.19</v>
      </c>
      <c r="C143">
        <v>2.9</v>
      </c>
      <c r="D143">
        <v>18</v>
      </c>
      <c r="E143" s="3">
        <f t="shared" si="6"/>
        <v>52.199999999999996</v>
      </c>
      <c r="F143" s="1">
        <v>1.3834556</v>
      </c>
      <c r="G143" s="3">
        <v>26.502980842911875</v>
      </c>
      <c r="H143">
        <f t="shared" si="7"/>
        <v>13.571699436000001</v>
      </c>
    </row>
    <row r="144" spans="1:8" x14ac:dyDescent="0.25">
      <c r="A144">
        <v>1668</v>
      </c>
      <c r="B144" s="2">
        <v>1886.5</v>
      </c>
      <c r="C144">
        <v>3.07</v>
      </c>
      <c r="D144">
        <v>18</v>
      </c>
      <c r="E144" s="3">
        <f t="shared" si="6"/>
        <v>55.26</v>
      </c>
      <c r="F144" s="1">
        <v>1.4242788799999999</v>
      </c>
      <c r="G144" s="3">
        <v>25.774138255519361</v>
      </c>
      <c r="H144">
        <f t="shared" si="7"/>
        <v>13.9721758128</v>
      </c>
    </row>
    <row r="145" spans="1:8" x14ac:dyDescent="0.25">
      <c r="A145">
        <v>1672</v>
      </c>
      <c r="B145" s="2">
        <v>1919.76</v>
      </c>
      <c r="C145">
        <v>3.24</v>
      </c>
      <c r="D145">
        <v>18</v>
      </c>
      <c r="E145" s="3">
        <f t="shared" si="6"/>
        <v>58.320000000000007</v>
      </c>
      <c r="F145" s="1">
        <v>1.4877817599999998</v>
      </c>
      <c r="G145" s="3">
        <v>25.510661179698211</v>
      </c>
      <c r="H145">
        <f t="shared" si="7"/>
        <v>14.5951390656</v>
      </c>
    </row>
    <row r="146" spans="1:8" x14ac:dyDescent="0.25">
      <c r="A146">
        <v>1676</v>
      </c>
      <c r="B146" s="2">
        <v>1951.87</v>
      </c>
      <c r="C146">
        <v>3.4</v>
      </c>
      <c r="D146">
        <v>18</v>
      </c>
      <c r="E146" s="3">
        <f t="shared" si="6"/>
        <v>61.199999999999996</v>
      </c>
      <c r="F146" s="1">
        <v>1.5376768799999998</v>
      </c>
      <c r="G146" s="3">
        <v>25.125439215686271</v>
      </c>
      <c r="H146">
        <f t="shared" si="7"/>
        <v>15.0846101928</v>
      </c>
    </row>
    <row r="147" spans="1:8" x14ac:dyDescent="0.25">
      <c r="A147">
        <v>1680</v>
      </c>
      <c r="B147" s="2">
        <v>1988.71</v>
      </c>
      <c r="C147">
        <v>3.6</v>
      </c>
      <c r="D147">
        <v>18</v>
      </c>
      <c r="E147" s="3">
        <f t="shared" si="6"/>
        <v>64.8</v>
      </c>
      <c r="F147" s="1">
        <v>1.5966438399999998</v>
      </c>
      <c r="G147" s="3">
        <v>24.639565432098763</v>
      </c>
      <c r="H147">
        <f t="shared" si="7"/>
        <v>15.663076070399999</v>
      </c>
    </row>
    <row r="148" spans="1:8" x14ac:dyDescent="0.25">
      <c r="A148">
        <v>1684</v>
      </c>
      <c r="B148" s="2">
        <v>2020.68</v>
      </c>
      <c r="C148">
        <v>3.8</v>
      </c>
      <c r="D148">
        <v>18</v>
      </c>
      <c r="E148" s="3">
        <f t="shared" si="6"/>
        <v>68.399999999999991</v>
      </c>
      <c r="F148" s="1">
        <v>1.6782903999999998</v>
      </c>
      <c r="G148" s="3">
        <v>24.536409356725148</v>
      </c>
      <c r="H148">
        <f t="shared" si="7"/>
        <v>16.464028824</v>
      </c>
    </row>
    <row r="149" spans="1:8" x14ac:dyDescent="0.25">
      <c r="A149">
        <v>1688</v>
      </c>
      <c r="B149" s="2">
        <v>2066.0500000000002</v>
      </c>
      <c r="C149">
        <v>4.07</v>
      </c>
      <c r="D149">
        <v>18</v>
      </c>
      <c r="E149" s="3">
        <f t="shared" si="6"/>
        <v>73.260000000000005</v>
      </c>
      <c r="F149" s="1">
        <v>1.74179328</v>
      </c>
      <c r="G149" s="3">
        <v>23.775502047502044</v>
      </c>
      <c r="H149">
        <f t="shared" si="7"/>
        <v>17.086992076800001</v>
      </c>
    </row>
    <row r="150" spans="1:8" x14ac:dyDescent="0.25">
      <c r="A150">
        <v>1692</v>
      </c>
      <c r="B150" s="2">
        <v>2097.65</v>
      </c>
      <c r="C150">
        <v>4.29</v>
      </c>
      <c r="D150">
        <v>18</v>
      </c>
      <c r="E150" s="3">
        <f t="shared" si="6"/>
        <v>77.22</v>
      </c>
      <c r="F150" s="1">
        <v>1.78715248</v>
      </c>
      <c r="G150" s="3">
        <v>23.143647759647759</v>
      </c>
      <c r="H150">
        <f t="shared" si="7"/>
        <v>17.531965828800001</v>
      </c>
    </row>
    <row r="151" spans="1:8" x14ac:dyDescent="0.25">
      <c r="A151">
        <v>1696</v>
      </c>
      <c r="B151" s="2">
        <v>2143.12</v>
      </c>
      <c r="C151">
        <v>4.5199999999999996</v>
      </c>
      <c r="D151">
        <v>18</v>
      </c>
      <c r="E151" s="3">
        <f t="shared" si="6"/>
        <v>81.359999999999985</v>
      </c>
      <c r="F151" s="1">
        <v>1.8415835199999997</v>
      </c>
      <c r="G151" s="3">
        <v>22.634999016715831</v>
      </c>
      <c r="H151">
        <f t="shared" si="7"/>
        <v>18.065934331199998</v>
      </c>
    </row>
    <row r="152" spans="1:8" x14ac:dyDescent="0.25">
      <c r="A152">
        <v>1700</v>
      </c>
      <c r="B152" s="2">
        <v>2171.1799999999998</v>
      </c>
      <c r="C152">
        <v>4.72</v>
      </c>
      <c r="D152">
        <v>18</v>
      </c>
      <c r="E152" s="3">
        <f t="shared" si="6"/>
        <v>84.96</v>
      </c>
      <c r="F152" s="1">
        <v>1.9186941599999998</v>
      </c>
      <c r="G152" s="3">
        <v>22.583500000000001</v>
      </c>
      <c r="H152">
        <f t="shared" si="7"/>
        <v>18.822389709599999</v>
      </c>
    </row>
    <row r="153" spans="1:8" x14ac:dyDescent="0.25">
      <c r="A153">
        <v>1704</v>
      </c>
      <c r="B153" s="2">
        <v>2198.15</v>
      </c>
      <c r="C153">
        <v>4.9800000000000004</v>
      </c>
      <c r="D153">
        <v>18</v>
      </c>
      <c r="E153" s="3">
        <f t="shared" si="6"/>
        <v>89.640000000000015</v>
      </c>
      <c r="F153" s="1">
        <v>1.9731251999999999</v>
      </c>
      <c r="G153" s="3">
        <v>22.01165997322623</v>
      </c>
      <c r="H153">
        <f t="shared" si="7"/>
        <v>19.356358212</v>
      </c>
    </row>
    <row r="154" spans="1:8" x14ac:dyDescent="0.25">
      <c r="A154">
        <v>1708</v>
      </c>
      <c r="B154" s="2">
        <v>2229.75</v>
      </c>
      <c r="C154">
        <v>5.2</v>
      </c>
      <c r="D154">
        <v>18</v>
      </c>
      <c r="E154" s="3">
        <f t="shared" si="6"/>
        <v>93.600000000000009</v>
      </c>
      <c r="F154" s="1">
        <v>2.0366280800000003</v>
      </c>
      <c r="G154" s="3">
        <v>21.758847008547008</v>
      </c>
      <c r="H154">
        <f t="shared" si="7"/>
        <v>19.979321464800005</v>
      </c>
    </row>
    <row r="155" spans="1:8" x14ac:dyDescent="0.25">
      <c r="A155">
        <v>1712</v>
      </c>
      <c r="B155" s="2">
        <v>2264.8000000000002</v>
      </c>
      <c r="C155">
        <v>5.47</v>
      </c>
      <c r="D155">
        <v>18</v>
      </c>
      <c r="E155" s="3">
        <f t="shared" si="6"/>
        <v>98.46</v>
      </c>
      <c r="F155" s="1">
        <v>2.0819872799999999</v>
      </c>
      <c r="G155" s="3">
        <v>21.145513711151736</v>
      </c>
      <c r="H155">
        <f t="shared" si="7"/>
        <v>20.424295216800001</v>
      </c>
    </row>
    <row r="156" spans="1:8" x14ac:dyDescent="0.25">
      <c r="A156">
        <v>1716</v>
      </c>
      <c r="B156" s="2">
        <v>2293.4699999999998</v>
      </c>
      <c r="C156">
        <v>5.7</v>
      </c>
      <c r="D156">
        <v>18</v>
      </c>
      <c r="E156" s="3">
        <f t="shared" si="6"/>
        <v>102.60000000000001</v>
      </c>
      <c r="F156" s="1">
        <v>2.17270568</v>
      </c>
      <c r="G156" s="3">
        <v>21.176468615984405</v>
      </c>
      <c r="H156">
        <f t="shared" si="7"/>
        <v>21.314242720799999</v>
      </c>
    </row>
    <row r="157" spans="1:8" x14ac:dyDescent="0.25">
      <c r="A157">
        <v>1720</v>
      </c>
      <c r="B157" s="2">
        <v>2330.12</v>
      </c>
      <c r="C157">
        <v>5.97</v>
      </c>
      <c r="D157">
        <v>18</v>
      </c>
      <c r="E157" s="3">
        <f t="shared" si="6"/>
        <v>107.46</v>
      </c>
      <c r="F157" s="1">
        <v>2.21806488</v>
      </c>
      <c r="G157" s="3">
        <v>20.64084198771636</v>
      </c>
      <c r="H157">
        <f t="shared" si="7"/>
        <v>21.759216472800002</v>
      </c>
    </row>
    <row r="158" spans="1:8" x14ac:dyDescent="0.25">
      <c r="A158">
        <v>1724</v>
      </c>
      <c r="B158" s="2">
        <v>2351.21</v>
      </c>
      <c r="C158">
        <v>6.25</v>
      </c>
      <c r="D158">
        <v>18</v>
      </c>
      <c r="E158" s="3">
        <f t="shared" si="6"/>
        <v>112.5</v>
      </c>
      <c r="F158" s="1">
        <v>2.2815677599999997</v>
      </c>
      <c r="G158" s="3">
        <v>20.280602311111107</v>
      </c>
      <c r="H158">
        <f t="shared" si="7"/>
        <v>22.382179725599997</v>
      </c>
    </row>
    <row r="159" spans="1:8" x14ac:dyDescent="0.25">
      <c r="A159">
        <v>1728</v>
      </c>
      <c r="B159" s="2">
        <v>2402.0100000000002</v>
      </c>
      <c r="C159">
        <v>6.55</v>
      </c>
      <c r="D159">
        <v>18</v>
      </c>
      <c r="E159" s="3">
        <f t="shared" si="6"/>
        <v>117.89999999999999</v>
      </c>
      <c r="F159" s="1">
        <v>2.36321432</v>
      </c>
      <c r="G159" s="3">
        <v>20.044226632739612</v>
      </c>
      <c r="H159">
        <f t="shared" si="7"/>
        <v>23.183132479200001</v>
      </c>
    </row>
    <row r="160" spans="1:8" x14ac:dyDescent="0.25">
      <c r="A160">
        <v>1732</v>
      </c>
      <c r="B160" s="2">
        <v>2442.7800000000002</v>
      </c>
      <c r="C160">
        <v>6.87</v>
      </c>
      <c r="D160">
        <v>18</v>
      </c>
      <c r="E160" s="3">
        <f t="shared" si="6"/>
        <v>123.66</v>
      </c>
      <c r="F160" s="1">
        <v>2.4312531199999996</v>
      </c>
      <c r="G160" s="3">
        <v>19.660788613941452</v>
      </c>
      <c r="H160">
        <f t="shared" si="7"/>
        <v>23.850593107199998</v>
      </c>
    </row>
    <row r="161" spans="1:8" x14ac:dyDescent="0.25">
      <c r="A161">
        <v>1736</v>
      </c>
      <c r="B161" s="2">
        <v>2474.17</v>
      </c>
      <c r="C161">
        <v>7.28</v>
      </c>
      <c r="D161">
        <v>18</v>
      </c>
      <c r="E161" s="3">
        <f t="shared" si="6"/>
        <v>131.04</v>
      </c>
      <c r="F161" s="1">
        <v>2.5038278399999996</v>
      </c>
      <c r="G161" s="3">
        <v>19.107355311355313</v>
      </c>
      <c r="H161">
        <f t="shared" si="7"/>
        <v>24.562551110399998</v>
      </c>
    </row>
    <row r="162" spans="1:8" x14ac:dyDescent="0.25">
      <c r="A162">
        <v>1740</v>
      </c>
      <c r="B162" s="2">
        <v>2512.63</v>
      </c>
      <c r="C162">
        <v>7.64</v>
      </c>
      <c r="D162">
        <v>18</v>
      </c>
      <c r="E162" s="3">
        <f t="shared" si="6"/>
        <v>137.51999999999998</v>
      </c>
      <c r="F162" s="1">
        <v>2.5854743999999998</v>
      </c>
      <c r="G162" s="3">
        <v>18.800715532286215</v>
      </c>
      <c r="H162">
        <f t="shared" si="7"/>
        <v>25.363503863999998</v>
      </c>
    </row>
    <row r="163" spans="1:8" x14ac:dyDescent="0.25">
      <c r="A163">
        <v>1744</v>
      </c>
      <c r="B163" s="2">
        <v>2546.4299999999998</v>
      </c>
      <c r="C163">
        <v>8</v>
      </c>
      <c r="D163">
        <v>18</v>
      </c>
      <c r="E163" s="3">
        <f t="shared" si="6"/>
        <v>144</v>
      </c>
      <c r="F163" s="1">
        <v>2.6444413600000001</v>
      </c>
      <c r="G163" s="3">
        <v>18.36417611111111</v>
      </c>
      <c r="H163">
        <f t="shared" si="7"/>
        <v>25.941969741600001</v>
      </c>
    </row>
    <row r="164" spans="1:8" x14ac:dyDescent="0.25">
      <c r="A164">
        <v>1748</v>
      </c>
      <c r="B164" s="2">
        <v>2577.29</v>
      </c>
      <c r="C164">
        <v>8.4</v>
      </c>
      <c r="D164">
        <v>18</v>
      </c>
      <c r="E164" s="3">
        <f t="shared" si="6"/>
        <v>151.20000000000002</v>
      </c>
      <c r="F164" s="1">
        <v>2.7442316</v>
      </c>
      <c r="G164" s="3">
        <v>18.14967989417989</v>
      </c>
      <c r="H164">
        <f t="shared" si="7"/>
        <v>26.920911996000001</v>
      </c>
    </row>
    <row r="165" spans="1:8" x14ac:dyDescent="0.25">
      <c r="A165">
        <v>1752</v>
      </c>
      <c r="B165" s="2">
        <v>2602.17</v>
      </c>
      <c r="C165">
        <v>8.8000000000000007</v>
      </c>
      <c r="D165">
        <v>18</v>
      </c>
      <c r="E165" s="3">
        <f t="shared" si="6"/>
        <v>158.4</v>
      </c>
      <c r="F165" s="1">
        <v>2.79412672</v>
      </c>
      <c r="G165" s="3">
        <v>17.639688888888887</v>
      </c>
      <c r="H165">
        <f t="shared" si="7"/>
        <v>27.410383123200003</v>
      </c>
    </row>
    <row r="166" spans="1:8" x14ac:dyDescent="0.25">
      <c r="A166">
        <v>1756</v>
      </c>
      <c r="B166" s="2">
        <v>2627.11</v>
      </c>
      <c r="C166">
        <v>9.15</v>
      </c>
      <c r="D166">
        <v>18</v>
      </c>
      <c r="E166" s="3">
        <f t="shared" si="6"/>
        <v>164.70000000000002</v>
      </c>
      <c r="F166" s="1">
        <v>2.8667014399999995</v>
      </c>
      <c r="G166" s="3">
        <v>17.405594656952029</v>
      </c>
      <c r="H166">
        <f t="shared" si="7"/>
        <v>28.122341126399995</v>
      </c>
    </row>
    <row r="167" spans="1:8" x14ac:dyDescent="0.25">
      <c r="A167">
        <v>1760</v>
      </c>
      <c r="B167" s="2">
        <v>2669.77</v>
      </c>
      <c r="C167">
        <v>9.48</v>
      </c>
      <c r="D167">
        <v>18</v>
      </c>
      <c r="E167" s="3">
        <f t="shared" ref="E167:E201" si="8">D167*C167</f>
        <v>170.64000000000001</v>
      </c>
      <c r="F167" s="1">
        <v>2.9256684000000002</v>
      </c>
      <c r="G167" s="3">
        <v>17.145267229254571</v>
      </c>
      <c r="H167">
        <f t="shared" si="7"/>
        <v>28.700807004000001</v>
      </c>
    </row>
    <row r="168" spans="1:8" x14ac:dyDescent="0.25">
      <c r="A168">
        <v>1764</v>
      </c>
      <c r="B168" s="2">
        <v>2695.05</v>
      </c>
      <c r="C168">
        <v>9.9</v>
      </c>
      <c r="D168">
        <v>18</v>
      </c>
      <c r="E168" s="3">
        <f t="shared" si="8"/>
        <v>178.20000000000002</v>
      </c>
      <c r="F168" s="1">
        <v>3.0118508799999999</v>
      </c>
      <c r="G168" s="3">
        <v>16.901520089786754</v>
      </c>
      <c r="H168">
        <f t="shared" si="7"/>
        <v>29.546257132800001</v>
      </c>
    </row>
    <row r="169" spans="1:8" x14ac:dyDescent="0.25">
      <c r="A169">
        <v>1768</v>
      </c>
      <c r="B169" s="2">
        <v>2730.72</v>
      </c>
      <c r="C169">
        <v>10.199999999999999</v>
      </c>
      <c r="D169">
        <v>18</v>
      </c>
      <c r="E169" s="3">
        <f t="shared" si="8"/>
        <v>183.6</v>
      </c>
      <c r="F169" s="1">
        <v>3.10256928</v>
      </c>
      <c r="G169" s="3">
        <v>16.898525490196079</v>
      </c>
      <c r="H169">
        <f t="shared" si="7"/>
        <v>30.436204636800003</v>
      </c>
    </row>
    <row r="170" spans="1:8" x14ac:dyDescent="0.25">
      <c r="A170">
        <v>1772</v>
      </c>
      <c r="B170" s="2">
        <v>2765.81</v>
      </c>
      <c r="C170">
        <v>10.53</v>
      </c>
      <c r="D170">
        <v>18</v>
      </c>
      <c r="E170" s="3">
        <f t="shared" si="8"/>
        <v>189.54</v>
      </c>
      <c r="F170" s="1">
        <v>3.1479284799999996</v>
      </c>
      <c r="G170" s="3">
        <v>16.608254088846682</v>
      </c>
      <c r="H170">
        <f t="shared" si="7"/>
        <v>30.881178388799999</v>
      </c>
    </row>
    <row r="171" spans="1:8" x14ac:dyDescent="0.25">
      <c r="A171">
        <v>1776</v>
      </c>
      <c r="B171" s="2">
        <v>2809.11</v>
      </c>
      <c r="C171">
        <v>10.81</v>
      </c>
      <c r="D171">
        <v>18</v>
      </c>
      <c r="E171" s="3">
        <f t="shared" si="8"/>
        <v>194.58</v>
      </c>
      <c r="F171" s="1">
        <v>3.2068954399999998</v>
      </c>
      <c r="G171" s="3">
        <v>16.48111542810155</v>
      </c>
      <c r="H171">
        <f t="shared" si="7"/>
        <v>31.459644266400002</v>
      </c>
    </row>
    <row r="172" spans="1:8" x14ac:dyDescent="0.25">
      <c r="A172">
        <v>1780</v>
      </c>
      <c r="B172" s="2">
        <v>2822.83</v>
      </c>
      <c r="C172">
        <v>11.18</v>
      </c>
      <c r="D172">
        <v>18</v>
      </c>
      <c r="E172" s="3">
        <f t="shared" si="8"/>
        <v>201.24</v>
      </c>
      <c r="F172" s="1">
        <v>3.2658624000000001</v>
      </c>
      <c r="G172" s="3">
        <v>16.228694096601071</v>
      </c>
      <c r="H172">
        <f t="shared" si="7"/>
        <v>32.038110144000001</v>
      </c>
    </row>
    <row r="173" spans="1:8" x14ac:dyDescent="0.25">
      <c r="A173">
        <v>1784</v>
      </c>
      <c r="B173" s="2">
        <v>2849.51</v>
      </c>
      <c r="C173">
        <v>11.58</v>
      </c>
      <c r="D173">
        <v>18</v>
      </c>
      <c r="E173" s="3">
        <f t="shared" si="8"/>
        <v>208.44</v>
      </c>
      <c r="F173" s="1">
        <v>3.3928681599999999</v>
      </c>
      <c r="G173" s="3">
        <v>16.277433122241412</v>
      </c>
      <c r="H173">
        <f t="shared" si="7"/>
        <v>33.284036649599997</v>
      </c>
    </row>
    <row r="174" spans="1:8" x14ac:dyDescent="0.25">
      <c r="A174">
        <v>1788</v>
      </c>
      <c r="B174" s="2">
        <v>2893.66</v>
      </c>
      <c r="C174">
        <v>11.88</v>
      </c>
      <c r="D174">
        <v>18</v>
      </c>
      <c r="E174" s="3">
        <f t="shared" si="8"/>
        <v>213.84</v>
      </c>
      <c r="F174" s="1">
        <v>3.4563710400000001</v>
      </c>
      <c r="G174" s="3">
        <v>16.163351290684624</v>
      </c>
      <c r="H174">
        <f t="shared" si="7"/>
        <v>33.906999902400003</v>
      </c>
    </row>
    <row r="175" spans="1:8" x14ac:dyDescent="0.25">
      <c r="A175">
        <v>1792</v>
      </c>
      <c r="B175" s="2">
        <v>2914.44</v>
      </c>
      <c r="C175">
        <v>12.29</v>
      </c>
      <c r="D175">
        <v>18</v>
      </c>
      <c r="E175" s="3">
        <f t="shared" si="8"/>
        <v>221.21999999999997</v>
      </c>
      <c r="F175" s="1">
        <v>3.5380175999999999</v>
      </c>
      <c r="G175" s="3">
        <v>15.993208570653648</v>
      </c>
      <c r="H175">
        <f t="shared" si="7"/>
        <v>34.707952656000003</v>
      </c>
    </row>
    <row r="176" spans="1:8" x14ac:dyDescent="0.25">
      <c r="A176">
        <v>1796</v>
      </c>
      <c r="B176" s="2">
        <v>2959.85</v>
      </c>
      <c r="C176">
        <v>12.59</v>
      </c>
      <c r="D176">
        <v>18</v>
      </c>
      <c r="E176" s="3">
        <f t="shared" si="8"/>
        <v>226.62</v>
      </c>
      <c r="F176" s="1">
        <v>3.628736</v>
      </c>
      <c r="G176" s="3">
        <v>16.012426087723941</v>
      </c>
      <c r="H176">
        <f t="shared" si="7"/>
        <v>35.597900160000002</v>
      </c>
    </row>
    <row r="177" spans="1:8" x14ac:dyDescent="0.25">
      <c r="A177">
        <v>1800</v>
      </c>
      <c r="B177" s="2">
        <v>2984.66</v>
      </c>
      <c r="C177">
        <v>13.12</v>
      </c>
      <c r="D177">
        <v>18</v>
      </c>
      <c r="E177" s="3">
        <f t="shared" si="8"/>
        <v>236.16</v>
      </c>
      <c r="F177" s="1">
        <v>3.7239903199999995</v>
      </c>
      <c r="G177" s="3">
        <v>15.768929200542003</v>
      </c>
      <c r="H177">
        <f t="shared" si="7"/>
        <v>36.532345039199996</v>
      </c>
    </row>
    <row r="178" spans="1:8" x14ac:dyDescent="0.25">
      <c r="A178">
        <v>1804</v>
      </c>
      <c r="B178" s="2">
        <v>3026.46</v>
      </c>
      <c r="C178">
        <v>13.5</v>
      </c>
      <c r="D178">
        <v>18</v>
      </c>
      <c r="E178" s="3">
        <f t="shared" si="8"/>
        <v>243</v>
      </c>
      <c r="F178" s="1">
        <v>3.7920291199999996</v>
      </c>
      <c r="G178" s="3">
        <v>15.605058106995884</v>
      </c>
      <c r="H178">
        <f t="shared" si="7"/>
        <v>37.199805667199996</v>
      </c>
    </row>
    <row r="179" spans="1:8" x14ac:dyDescent="0.25">
      <c r="A179">
        <v>1808</v>
      </c>
      <c r="B179" s="2">
        <v>3055.48</v>
      </c>
      <c r="C179">
        <v>14.04</v>
      </c>
      <c r="D179">
        <v>18</v>
      </c>
      <c r="E179" s="3">
        <f t="shared" si="8"/>
        <v>252.71999999999997</v>
      </c>
      <c r="F179" s="1">
        <v>3.9235708000000002</v>
      </c>
      <c r="G179" s="3">
        <v>15.525367204811651</v>
      </c>
      <c r="H179">
        <f t="shared" si="7"/>
        <v>38.490229548000002</v>
      </c>
    </row>
    <row r="180" spans="1:8" x14ac:dyDescent="0.25">
      <c r="A180">
        <v>1812</v>
      </c>
      <c r="B180" s="2">
        <v>3088.69</v>
      </c>
      <c r="C180">
        <v>14.49</v>
      </c>
      <c r="D180">
        <v>18</v>
      </c>
      <c r="E180" s="3">
        <f t="shared" si="8"/>
        <v>260.82</v>
      </c>
      <c r="F180" s="1">
        <v>4.0188251199999998</v>
      </c>
      <c r="G180" s="3">
        <v>15.408423893873168</v>
      </c>
      <c r="H180">
        <f t="shared" si="7"/>
        <v>39.424674427200003</v>
      </c>
    </row>
    <row r="181" spans="1:8" x14ac:dyDescent="0.25">
      <c r="A181">
        <v>1816</v>
      </c>
      <c r="B181" s="2">
        <v>3124.31</v>
      </c>
      <c r="C181">
        <v>15.09</v>
      </c>
      <c r="D181">
        <v>18</v>
      </c>
      <c r="E181" s="3">
        <f t="shared" si="8"/>
        <v>271.62</v>
      </c>
      <c r="F181" s="1">
        <v>4.1412949599999997</v>
      </c>
      <c r="G181" s="3">
        <v>15.246649583977613</v>
      </c>
      <c r="H181">
        <f t="shared" si="7"/>
        <v>40.626103557599997</v>
      </c>
    </row>
    <row r="182" spans="1:8" x14ac:dyDescent="0.25">
      <c r="A182">
        <v>1820</v>
      </c>
      <c r="B182" s="2">
        <v>3179.56</v>
      </c>
      <c r="C182">
        <v>15.55</v>
      </c>
      <c r="D182">
        <v>18</v>
      </c>
      <c r="E182" s="3">
        <f t="shared" si="8"/>
        <v>279.90000000000003</v>
      </c>
      <c r="F182" s="1">
        <v>4.2093337599999998</v>
      </c>
      <c r="G182" s="3">
        <v>15.038705823508392</v>
      </c>
      <c r="H182">
        <f t="shared" si="7"/>
        <v>41.293564185599998</v>
      </c>
    </row>
    <row r="183" spans="1:8" x14ac:dyDescent="0.25">
      <c r="A183">
        <v>1824</v>
      </c>
      <c r="B183" s="2">
        <v>3221.84</v>
      </c>
      <c r="C183">
        <v>16.14</v>
      </c>
      <c r="D183">
        <v>18</v>
      </c>
      <c r="E183" s="3">
        <f t="shared" si="8"/>
        <v>290.52</v>
      </c>
      <c r="F183" s="1">
        <v>4.3181958399999996</v>
      </c>
      <c r="G183" s="3">
        <v>14.863678369819633</v>
      </c>
      <c r="H183">
        <f t="shared" si="7"/>
        <v>42.361501190399999</v>
      </c>
    </row>
    <row r="184" spans="1:8" x14ac:dyDescent="0.25">
      <c r="A184">
        <v>1828</v>
      </c>
      <c r="B184" s="2">
        <v>3265.26</v>
      </c>
      <c r="C184">
        <v>16.66</v>
      </c>
      <c r="D184">
        <v>18</v>
      </c>
      <c r="E184" s="3">
        <f t="shared" si="8"/>
        <v>299.88</v>
      </c>
      <c r="F184" s="1">
        <v>4.4089142400000005</v>
      </c>
      <c r="G184" s="3">
        <v>14.702261704681874</v>
      </c>
      <c r="H184">
        <f t="shared" si="7"/>
        <v>43.251448694400004</v>
      </c>
    </row>
    <row r="185" spans="1:8" x14ac:dyDescent="0.25">
      <c r="A185">
        <v>1832</v>
      </c>
      <c r="B185" s="2">
        <v>3283.27</v>
      </c>
      <c r="C185">
        <v>17.32</v>
      </c>
      <c r="D185">
        <v>18</v>
      </c>
      <c r="E185" s="3">
        <f t="shared" si="8"/>
        <v>311.76</v>
      </c>
      <c r="F185" s="1">
        <v>4.53592</v>
      </c>
      <c r="G185" s="3">
        <v>14.549396972029767</v>
      </c>
      <c r="H185">
        <f t="shared" si="7"/>
        <v>44.4973752</v>
      </c>
    </row>
    <row r="186" spans="1:8" x14ac:dyDescent="0.25">
      <c r="A186">
        <v>1836</v>
      </c>
      <c r="B186" s="2">
        <v>3323.57</v>
      </c>
      <c r="C186">
        <v>17.89</v>
      </c>
      <c r="D186">
        <v>18</v>
      </c>
      <c r="E186" s="3">
        <f t="shared" si="8"/>
        <v>322.02</v>
      </c>
      <c r="F186" s="1">
        <v>4.6674616799999997</v>
      </c>
      <c r="G186" s="3">
        <v>14.494322340227313</v>
      </c>
      <c r="H186">
        <f t="shared" si="7"/>
        <v>45.787799080799999</v>
      </c>
    </row>
    <row r="187" spans="1:8" x14ac:dyDescent="0.25">
      <c r="A187">
        <v>1840</v>
      </c>
      <c r="B187" s="2">
        <v>3375.25</v>
      </c>
      <c r="C187">
        <v>18.45</v>
      </c>
      <c r="D187">
        <v>18</v>
      </c>
      <c r="E187" s="3">
        <f t="shared" si="8"/>
        <v>332.09999999999997</v>
      </c>
      <c r="F187" s="1">
        <v>4.6946772000000001</v>
      </c>
      <c r="G187" s="3">
        <v>14.136336043360435</v>
      </c>
      <c r="H187">
        <f t="shared" si="7"/>
        <v>46.054783332000007</v>
      </c>
    </row>
    <row r="188" spans="1:8" x14ac:dyDescent="0.25">
      <c r="A188">
        <v>1844</v>
      </c>
      <c r="B188" s="2">
        <v>3390.58</v>
      </c>
      <c r="C188">
        <v>19.27</v>
      </c>
      <c r="D188">
        <v>18</v>
      </c>
      <c r="E188" s="3">
        <f t="shared" si="8"/>
        <v>346.86</v>
      </c>
      <c r="F188" s="1">
        <v>4.8625062400000001</v>
      </c>
      <c r="G188" s="3">
        <v>14.018642218762611</v>
      </c>
      <c r="H188">
        <f t="shared" si="7"/>
        <v>47.701186214400003</v>
      </c>
    </row>
    <row r="189" spans="1:8" x14ac:dyDescent="0.25">
      <c r="A189">
        <v>1848</v>
      </c>
      <c r="B189" s="2">
        <v>3417.4</v>
      </c>
      <c r="C189">
        <v>19.72</v>
      </c>
      <c r="D189">
        <v>18</v>
      </c>
      <c r="E189" s="3">
        <f t="shared" si="8"/>
        <v>354.96</v>
      </c>
      <c r="F189" s="1">
        <v>4.91693728</v>
      </c>
      <c r="G189" s="3">
        <v>13.852088347982873</v>
      </c>
      <c r="H189">
        <f t="shared" si="7"/>
        <v>48.235154716800004</v>
      </c>
    </row>
    <row r="190" spans="1:8" x14ac:dyDescent="0.25">
      <c r="A190">
        <v>1852</v>
      </c>
      <c r="B190" s="2">
        <v>3445.95</v>
      </c>
      <c r="C190">
        <v>20.38</v>
      </c>
      <c r="D190">
        <v>18</v>
      </c>
      <c r="E190" s="3">
        <f t="shared" si="8"/>
        <v>366.84</v>
      </c>
      <c r="F190" s="1">
        <v>5.0167275199999999</v>
      </c>
      <c r="G190" s="3">
        <v>13.675519354486971</v>
      </c>
      <c r="H190">
        <f t="shared" si="7"/>
        <v>49.2140969712</v>
      </c>
    </row>
    <row r="191" spans="1:8" x14ac:dyDescent="0.25">
      <c r="A191">
        <v>1856</v>
      </c>
      <c r="B191" s="2">
        <v>3481.79</v>
      </c>
      <c r="C191">
        <v>21.03</v>
      </c>
      <c r="D191">
        <v>18</v>
      </c>
      <c r="E191" s="3">
        <f t="shared" si="8"/>
        <v>378.54</v>
      </c>
      <c r="F191" s="1">
        <v>5.1210536799999993</v>
      </c>
      <c r="G191" s="3">
        <v>13.52843472288265</v>
      </c>
      <c r="H191">
        <f t="shared" si="7"/>
        <v>50.237536600799999</v>
      </c>
    </row>
    <row r="192" spans="1:8" x14ac:dyDescent="0.25">
      <c r="A192">
        <v>1860</v>
      </c>
      <c r="B192" s="2">
        <v>3513.13</v>
      </c>
      <c r="C192">
        <v>21.6</v>
      </c>
      <c r="D192">
        <v>18</v>
      </c>
      <c r="E192" s="3">
        <f t="shared" si="8"/>
        <v>388.8</v>
      </c>
      <c r="F192" s="1">
        <v>5.2072361599999999</v>
      </c>
      <c r="G192" s="3">
        <v>13.393097119341565</v>
      </c>
      <c r="H192">
        <f t="shared" si="7"/>
        <v>51.082986729600002</v>
      </c>
    </row>
    <row r="193" spans="1:8" x14ac:dyDescent="0.25">
      <c r="A193">
        <v>1864</v>
      </c>
      <c r="B193" s="2">
        <v>3542.39</v>
      </c>
      <c r="C193">
        <v>22.29</v>
      </c>
      <c r="D193">
        <v>18</v>
      </c>
      <c r="E193" s="3">
        <f t="shared" si="8"/>
        <v>401.21999999999997</v>
      </c>
      <c r="F193" s="1">
        <v>5.2934186399999996</v>
      </c>
      <c r="G193" s="3">
        <v>13.193307013608495</v>
      </c>
      <c r="H193">
        <f t="shared" si="7"/>
        <v>51.928436858399998</v>
      </c>
    </row>
    <row r="194" spans="1:8" x14ac:dyDescent="0.25">
      <c r="A194">
        <v>1868</v>
      </c>
      <c r="B194" s="2">
        <v>3571.96</v>
      </c>
      <c r="C194">
        <v>22.87</v>
      </c>
      <c r="D194">
        <v>18</v>
      </c>
      <c r="E194" s="3">
        <f t="shared" si="8"/>
        <v>411.66</v>
      </c>
      <c r="F194" s="1">
        <v>5.3841370399999997</v>
      </c>
      <c r="G194" s="3">
        <v>13.079087207890005</v>
      </c>
      <c r="H194">
        <f t="shared" si="7"/>
        <v>52.818384362400003</v>
      </c>
    </row>
    <row r="195" spans="1:8" x14ac:dyDescent="0.25">
      <c r="A195">
        <v>1872</v>
      </c>
      <c r="B195" s="2">
        <v>3597.34</v>
      </c>
      <c r="C195">
        <v>23.55</v>
      </c>
      <c r="D195">
        <v>18</v>
      </c>
      <c r="E195" s="3">
        <f t="shared" si="8"/>
        <v>423.90000000000003</v>
      </c>
      <c r="F195" s="1">
        <v>5.4975350399999998</v>
      </c>
      <c r="G195" s="3">
        <v>12.968943241330502</v>
      </c>
      <c r="H195">
        <f t="shared" ref="H195:H202" si="9">F195*9.81</f>
        <v>53.9308187424</v>
      </c>
    </row>
    <row r="196" spans="1:8" x14ac:dyDescent="0.25">
      <c r="A196">
        <v>1876</v>
      </c>
      <c r="B196" s="2">
        <v>3619.05</v>
      </c>
      <c r="C196">
        <v>24.23</v>
      </c>
      <c r="D196">
        <v>18</v>
      </c>
      <c r="E196" s="3">
        <f t="shared" si="8"/>
        <v>436.14</v>
      </c>
      <c r="F196" s="1">
        <v>5.5973252799999997</v>
      </c>
      <c r="G196" s="3">
        <v>12.833781079469896</v>
      </c>
      <c r="H196">
        <f t="shared" si="9"/>
        <v>54.909760996800003</v>
      </c>
    </row>
    <row r="197" spans="1:8" x14ac:dyDescent="0.25">
      <c r="A197">
        <v>1880</v>
      </c>
      <c r="B197" s="2">
        <v>3636.57</v>
      </c>
      <c r="C197">
        <v>24.77</v>
      </c>
      <c r="D197">
        <v>18</v>
      </c>
      <c r="E197" s="3">
        <f t="shared" si="8"/>
        <v>445.86</v>
      </c>
      <c r="F197" s="1">
        <v>5.6653640799999998</v>
      </c>
      <c r="G197" s="3">
        <v>12.706598663257525</v>
      </c>
      <c r="H197">
        <f t="shared" si="9"/>
        <v>55.577221624800003</v>
      </c>
    </row>
    <row r="198" spans="1:8" x14ac:dyDescent="0.25">
      <c r="A198">
        <v>1884</v>
      </c>
      <c r="B198" s="2">
        <v>3653.12</v>
      </c>
      <c r="C198">
        <v>25.48</v>
      </c>
      <c r="D198">
        <v>18</v>
      </c>
      <c r="E198" s="3">
        <f t="shared" si="8"/>
        <v>458.64</v>
      </c>
      <c r="F198" s="1">
        <v>5.7696902400000001</v>
      </c>
      <c r="G198" s="3">
        <v>12.57999790685505</v>
      </c>
      <c r="H198">
        <f t="shared" si="9"/>
        <v>56.600661254400002</v>
      </c>
    </row>
    <row r="199" spans="1:8" x14ac:dyDescent="0.25">
      <c r="A199">
        <v>1888</v>
      </c>
      <c r="B199" s="2">
        <v>3687.17</v>
      </c>
      <c r="C199">
        <v>26.04</v>
      </c>
      <c r="D199">
        <v>18</v>
      </c>
      <c r="E199" s="3">
        <f t="shared" si="8"/>
        <v>468.71999999999997</v>
      </c>
      <c r="F199" s="1">
        <v>5.82412128</v>
      </c>
      <c r="G199" s="3">
        <v>12.425587301587301</v>
      </c>
      <c r="H199">
        <f t="shared" si="9"/>
        <v>57.134629756800003</v>
      </c>
    </row>
    <row r="200" spans="1:8" x14ac:dyDescent="0.25">
      <c r="A200">
        <v>1892</v>
      </c>
      <c r="B200" s="2">
        <v>3711.22</v>
      </c>
      <c r="C200">
        <v>26.74</v>
      </c>
      <c r="D200">
        <v>18</v>
      </c>
      <c r="E200" s="3">
        <f t="shared" si="8"/>
        <v>481.32</v>
      </c>
      <c r="F200" s="1">
        <v>5.8966960000000004</v>
      </c>
      <c r="G200" s="3">
        <v>12.251092828056178</v>
      </c>
      <c r="H200">
        <f t="shared" si="9"/>
        <v>57.846587760000006</v>
      </c>
    </row>
    <row r="201" spans="1:8" x14ac:dyDescent="0.25">
      <c r="A201">
        <v>1896</v>
      </c>
      <c r="B201" s="2">
        <v>3751.01</v>
      </c>
      <c r="C201">
        <v>27.22</v>
      </c>
      <c r="D201">
        <v>18</v>
      </c>
      <c r="E201" s="3">
        <f t="shared" si="8"/>
        <v>489.96</v>
      </c>
      <c r="F201" s="1">
        <v>5.9828784800000001</v>
      </c>
      <c r="G201" s="3">
        <v>12.210952894113804</v>
      </c>
      <c r="H201">
        <f t="shared" si="9"/>
        <v>58.692037888800002</v>
      </c>
    </row>
    <row r="202" spans="1:8" x14ac:dyDescent="0.25">
      <c r="A202">
        <v>1900</v>
      </c>
      <c r="B202" s="2">
        <v>3741.8150000000001</v>
      </c>
      <c r="C202">
        <v>27.570000000000004</v>
      </c>
      <c r="D202">
        <v>18</v>
      </c>
      <c r="E202" s="3">
        <v>496.26</v>
      </c>
      <c r="F202" s="1">
        <v>6.0161418933333337</v>
      </c>
      <c r="G202" s="3">
        <v>12.12297254886208</v>
      </c>
      <c r="H202">
        <f t="shared" si="9"/>
        <v>59.018351973600005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5AB3-34C8-4E00-80C3-6A71866CEE74}">
  <dimension ref="A1:I202"/>
  <sheetViews>
    <sheetView topLeftCell="A148" workbookViewId="0">
      <selection activeCell="H2" sqref="H2:H202"/>
    </sheetView>
  </sheetViews>
  <sheetFormatPr defaultRowHeight="15" x14ac:dyDescent="0.25"/>
  <cols>
    <col min="1" max="1" width="9.5703125" customWidth="1"/>
    <col min="2" max="2" width="9.140625" style="2"/>
    <col min="3" max="3" width="11" customWidth="1"/>
    <col min="4" max="4" width="11.140625" customWidth="1"/>
    <col min="5" max="5" width="10.28515625" customWidth="1"/>
    <col min="6" max="6" width="11" customWidth="1"/>
    <col min="7" max="7" width="15.42578125" customWidth="1"/>
  </cols>
  <sheetData>
    <row r="1" spans="1:9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>
        <v>1100</v>
      </c>
      <c r="B2" s="2">
        <v>3782.5083333333328</v>
      </c>
      <c r="C2" s="1">
        <v>32.173333333333325</v>
      </c>
      <c r="D2">
        <v>20</v>
      </c>
      <c r="E2" s="3">
        <v>643.4666666666667</v>
      </c>
      <c r="F2" s="1">
        <v>-5.0356271866666669</v>
      </c>
      <c r="G2" s="3">
        <v>7.825794338262722</v>
      </c>
      <c r="H2">
        <f>F2*9.81</f>
        <v>-49.399502701200007</v>
      </c>
      <c r="I2" s="1"/>
    </row>
    <row r="3" spans="1:9" x14ac:dyDescent="0.25">
      <c r="A3">
        <v>1104</v>
      </c>
      <c r="B3" s="2">
        <v>3777.39</v>
      </c>
      <c r="C3">
        <v>31.37</v>
      </c>
      <c r="D3">
        <v>20</v>
      </c>
      <c r="E3" s="3">
        <f t="shared" ref="E3:E34" si="0">D3*C3</f>
        <v>627.4</v>
      </c>
      <c r="F3" s="1">
        <v>-4.9577605600000005</v>
      </c>
      <c r="G3" s="3">
        <v>7.9020729359260455</v>
      </c>
      <c r="H3">
        <f t="shared" ref="H3:H66" si="1">F3*9.81</f>
        <v>-48.635631093600004</v>
      </c>
      <c r="I3" s="1"/>
    </row>
    <row r="4" spans="1:9" x14ac:dyDescent="0.25">
      <c r="A4">
        <v>1108</v>
      </c>
      <c r="B4" s="2">
        <v>3740.1</v>
      </c>
      <c r="C4">
        <v>30.6</v>
      </c>
      <c r="D4">
        <v>20</v>
      </c>
      <c r="E4" s="3">
        <f t="shared" si="0"/>
        <v>612</v>
      </c>
      <c r="F4" s="1">
        <v>-4.9214732000000003</v>
      </c>
      <c r="G4" s="3">
        <v>8.0416228758169943</v>
      </c>
      <c r="H4">
        <f t="shared" si="1"/>
        <v>-48.279652092000006</v>
      </c>
      <c r="I4" s="1"/>
    </row>
    <row r="5" spans="1:9" x14ac:dyDescent="0.25">
      <c r="A5">
        <v>1112</v>
      </c>
      <c r="B5" s="2">
        <v>3740.6</v>
      </c>
      <c r="C5">
        <v>29.67</v>
      </c>
      <c r="D5">
        <v>20</v>
      </c>
      <c r="E5" s="3">
        <f t="shared" si="0"/>
        <v>593.40000000000009</v>
      </c>
      <c r="F5" s="1">
        <v>-4.8443625600000004</v>
      </c>
      <c r="G5" s="3">
        <v>8.1637387259858443</v>
      </c>
      <c r="H5">
        <f t="shared" si="1"/>
        <v>-47.523196713600008</v>
      </c>
      <c r="I5" s="1"/>
    </row>
    <row r="6" spans="1:9" x14ac:dyDescent="0.25">
      <c r="A6">
        <v>1116</v>
      </c>
      <c r="B6" s="2">
        <v>3712.14</v>
      </c>
      <c r="C6">
        <v>29.04</v>
      </c>
      <c r="D6">
        <v>20</v>
      </c>
      <c r="E6" s="3">
        <f t="shared" si="0"/>
        <v>580.79999999999995</v>
      </c>
      <c r="F6" s="1">
        <v>-4.79446744</v>
      </c>
      <c r="G6" s="3">
        <v>8.2549370523415995</v>
      </c>
      <c r="H6">
        <f t="shared" si="1"/>
        <v>-47.033725586400003</v>
      </c>
      <c r="I6" s="1"/>
    </row>
    <row r="7" spans="1:9" x14ac:dyDescent="0.25">
      <c r="A7">
        <v>1120</v>
      </c>
      <c r="B7" s="2">
        <v>3680.92</v>
      </c>
      <c r="C7">
        <v>28.26</v>
      </c>
      <c r="D7">
        <v>20</v>
      </c>
      <c r="E7" s="3">
        <f t="shared" si="0"/>
        <v>565.20000000000005</v>
      </c>
      <c r="F7" s="1">
        <v>-4.7445723200000005</v>
      </c>
      <c r="G7" s="3">
        <v>8.3945016277423914</v>
      </c>
      <c r="H7">
        <f t="shared" si="1"/>
        <v>-46.544254459200005</v>
      </c>
      <c r="I7" s="1"/>
    </row>
    <row r="8" spans="1:9" x14ac:dyDescent="0.25">
      <c r="A8">
        <v>1124</v>
      </c>
      <c r="B8" s="2">
        <v>3639</v>
      </c>
      <c r="C8">
        <v>27.56</v>
      </c>
      <c r="D8">
        <v>20</v>
      </c>
      <c r="E8" s="3">
        <f t="shared" si="0"/>
        <v>551.19999999999993</v>
      </c>
      <c r="F8" s="1">
        <v>-4.68</v>
      </c>
      <c r="G8" s="3">
        <v>8.5</v>
      </c>
      <c r="H8">
        <f t="shared" si="1"/>
        <v>-45.910800000000002</v>
      </c>
      <c r="I8" s="1"/>
    </row>
    <row r="9" spans="1:9" x14ac:dyDescent="0.25">
      <c r="A9">
        <v>1128</v>
      </c>
      <c r="B9" s="2">
        <v>3641.61</v>
      </c>
      <c r="C9">
        <v>26.74</v>
      </c>
      <c r="D9">
        <v>20</v>
      </c>
      <c r="E9" s="3">
        <f t="shared" si="0"/>
        <v>534.79999999999995</v>
      </c>
      <c r="F9" s="1">
        <v>-4.5767432799999996</v>
      </c>
      <c r="G9" s="3">
        <v>8.5578595362752434</v>
      </c>
      <c r="H9">
        <f t="shared" si="1"/>
        <v>-44.897851576800001</v>
      </c>
      <c r="I9" s="1"/>
    </row>
    <row r="10" spans="1:9" x14ac:dyDescent="0.25">
      <c r="A10">
        <v>1132</v>
      </c>
      <c r="B10" s="2">
        <v>3624.44</v>
      </c>
      <c r="C10">
        <v>25.82</v>
      </c>
      <c r="D10">
        <v>20</v>
      </c>
      <c r="E10" s="3">
        <f t="shared" si="0"/>
        <v>516.4</v>
      </c>
      <c r="F10" s="1">
        <v>-4.4633452799999995</v>
      </c>
      <c r="G10" s="3">
        <v>8.6431938032532916</v>
      </c>
      <c r="H10">
        <f t="shared" si="1"/>
        <v>-43.785417196799997</v>
      </c>
      <c r="I10" s="1"/>
    </row>
    <row r="11" spans="1:9" x14ac:dyDescent="0.25">
      <c r="A11">
        <v>1136</v>
      </c>
      <c r="B11" s="2">
        <v>3569.48</v>
      </c>
      <c r="C11">
        <v>25.16</v>
      </c>
      <c r="D11">
        <v>20</v>
      </c>
      <c r="E11" s="3">
        <f t="shared" si="0"/>
        <v>503.2</v>
      </c>
      <c r="F11" s="1">
        <v>-4.4043783200000002</v>
      </c>
      <c r="G11" s="3">
        <v>8.7527391096979326</v>
      </c>
      <c r="H11">
        <f t="shared" si="1"/>
        <v>-43.206951319200002</v>
      </c>
      <c r="I11" s="1"/>
    </row>
    <row r="12" spans="1:9" x14ac:dyDescent="0.25">
      <c r="A12">
        <v>1140</v>
      </c>
      <c r="B12" s="2">
        <v>3558.46</v>
      </c>
      <c r="C12">
        <v>24.45</v>
      </c>
      <c r="D12">
        <v>20</v>
      </c>
      <c r="E12" s="3">
        <f t="shared" si="0"/>
        <v>489</v>
      </c>
      <c r="F12" s="1">
        <v>-4.3499472800000003</v>
      </c>
      <c r="G12" s="3">
        <v>8.8955977096114509</v>
      </c>
      <c r="H12">
        <f t="shared" si="1"/>
        <v>-42.672982816800008</v>
      </c>
      <c r="I12" s="1"/>
    </row>
    <row r="13" spans="1:9" x14ac:dyDescent="0.25">
      <c r="A13">
        <v>1144</v>
      </c>
      <c r="B13" s="2">
        <v>3570.84</v>
      </c>
      <c r="C13">
        <v>23.54</v>
      </c>
      <c r="D13">
        <v>20</v>
      </c>
      <c r="E13" s="3">
        <f t="shared" si="0"/>
        <v>470.79999999999995</v>
      </c>
      <c r="F13" s="1">
        <v>-4.2274774400000004</v>
      </c>
      <c r="G13" s="3">
        <v>8.9793488530161429</v>
      </c>
      <c r="H13">
        <f t="shared" si="1"/>
        <v>-41.471553686400007</v>
      </c>
      <c r="I13" s="1"/>
    </row>
    <row r="14" spans="1:9" x14ac:dyDescent="0.25">
      <c r="A14">
        <v>1148</v>
      </c>
      <c r="B14" s="2">
        <v>3497.5</v>
      </c>
      <c r="C14">
        <v>23.08</v>
      </c>
      <c r="D14">
        <v>20</v>
      </c>
      <c r="E14" s="3">
        <f t="shared" si="0"/>
        <v>461.59999999999997</v>
      </c>
      <c r="F14" s="1">
        <v>-4.1594386400000003</v>
      </c>
      <c r="G14" s="3">
        <v>9.0109155979202775</v>
      </c>
      <c r="H14">
        <f t="shared" si="1"/>
        <v>-40.804093058400007</v>
      </c>
      <c r="I14" s="1"/>
    </row>
    <row r="15" spans="1:9" x14ac:dyDescent="0.25">
      <c r="A15">
        <v>1152</v>
      </c>
      <c r="B15" s="2">
        <v>3449.42</v>
      </c>
      <c r="C15">
        <v>22.46</v>
      </c>
      <c r="D15">
        <v>20</v>
      </c>
      <c r="E15" s="3">
        <f t="shared" si="0"/>
        <v>449.20000000000005</v>
      </c>
      <c r="F15" s="1">
        <v>-4.1186153599999997</v>
      </c>
      <c r="G15" s="3">
        <v>9.1687786286731949</v>
      </c>
      <c r="H15">
        <f t="shared" si="1"/>
        <v>-40.403616681599999</v>
      </c>
      <c r="I15" s="1"/>
    </row>
    <row r="16" spans="1:9" x14ac:dyDescent="0.25">
      <c r="A16">
        <v>1156</v>
      </c>
      <c r="B16" s="2">
        <v>3456.78</v>
      </c>
      <c r="C16">
        <v>21.63</v>
      </c>
      <c r="D16">
        <v>20</v>
      </c>
      <c r="E16" s="3">
        <f t="shared" si="0"/>
        <v>432.59999999999997</v>
      </c>
      <c r="F16" s="1">
        <v>-4.0188251200000007</v>
      </c>
      <c r="G16" s="3">
        <v>9.2899332408691642</v>
      </c>
      <c r="H16">
        <f t="shared" si="1"/>
        <v>-39.42467442720001</v>
      </c>
      <c r="I16" s="1"/>
    </row>
    <row r="17" spans="1:9" x14ac:dyDescent="0.25">
      <c r="A17">
        <v>1160</v>
      </c>
      <c r="B17" s="2">
        <v>3389.67</v>
      </c>
      <c r="C17">
        <v>21</v>
      </c>
      <c r="D17">
        <v>20</v>
      </c>
      <c r="E17" s="3">
        <f t="shared" si="0"/>
        <v>420</v>
      </c>
      <c r="F17" s="1">
        <v>-3.9553222400000001</v>
      </c>
      <c r="G17" s="3">
        <v>9.4174339047619053</v>
      </c>
      <c r="H17">
        <f t="shared" si="1"/>
        <v>-38.801711174400005</v>
      </c>
      <c r="I17" s="1"/>
    </row>
    <row r="18" spans="1:9" x14ac:dyDescent="0.25">
      <c r="A18">
        <v>1164</v>
      </c>
      <c r="B18" s="2">
        <v>3384.67</v>
      </c>
      <c r="C18">
        <v>20.3</v>
      </c>
      <c r="D18">
        <v>20</v>
      </c>
      <c r="E18" s="3">
        <f t="shared" si="0"/>
        <v>406</v>
      </c>
      <c r="F18" s="1">
        <v>-3.88728344</v>
      </c>
      <c r="G18" s="3">
        <v>9.5745897536945819</v>
      </c>
      <c r="H18">
        <f t="shared" si="1"/>
        <v>-38.134250546400004</v>
      </c>
      <c r="I18" s="1"/>
    </row>
    <row r="19" spans="1:9" x14ac:dyDescent="0.25">
      <c r="A19">
        <v>1168</v>
      </c>
      <c r="B19" s="2">
        <v>3334.91</v>
      </c>
      <c r="C19">
        <v>19.649999999999999</v>
      </c>
      <c r="D19">
        <v>20</v>
      </c>
      <c r="E19" s="3">
        <f t="shared" si="0"/>
        <v>393</v>
      </c>
      <c r="F19" s="1">
        <v>-3.8101728000000001</v>
      </c>
      <c r="G19" s="3">
        <v>9.6950961832061058</v>
      </c>
      <c r="H19">
        <f t="shared" si="1"/>
        <v>-37.377795168000006</v>
      </c>
      <c r="I19" s="1"/>
    </row>
    <row r="20" spans="1:9" x14ac:dyDescent="0.25">
      <c r="A20">
        <v>1172</v>
      </c>
      <c r="B20" s="2">
        <v>3315.37</v>
      </c>
      <c r="C20">
        <v>19</v>
      </c>
      <c r="D20">
        <v>20</v>
      </c>
      <c r="E20" s="3">
        <f t="shared" si="0"/>
        <v>380</v>
      </c>
      <c r="F20" s="1">
        <v>-3.7103825600000007</v>
      </c>
      <c r="G20" s="3">
        <v>9.7641646315789483</v>
      </c>
      <c r="H20">
        <f t="shared" si="1"/>
        <v>-36.39885291360001</v>
      </c>
      <c r="I20" s="1"/>
    </row>
    <row r="21" spans="1:9" x14ac:dyDescent="0.25">
      <c r="A21">
        <v>1176</v>
      </c>
      <c r="B21" s="2">
        <v>3293.08</v>
      </c>
      <c r="C21">
        <v>18.36</v>
      </c>
      <c r="D21">
        <v>20</v>
      </c>
      <c r="E21" s="3">
        <f t="shared" si="0"/>
        <v>367.2</v>
      </c>
      <c r="F21" s="1">
        <v>-3.6604874400000003</v>
      </c>
      <c r="G21" s="3">
        <v>9.9686477124183011</v>
      </c>
      <c r="H21">
        <f t="shared" si="1"/>
        <v>-35.909381786400004</v>
      </c>
      <c r="I21" s="1"/>
    </row>
    <row r="22" spans="1:9" x14ac:dyDescent="0.25">
      <c r="A22">
        <v>1180</v>
      </c>
      <c r="B22" s="2">
        <v>3249.6</v>
      </c>
      <c r="C22">
        <v>17.75</v>
      </c>
      <c r="D22">
        <v>20</v>
      </c>
      <c r="E22" s="3">
        <f t="shared" si="0"/>
        <v>355</v>
      </c>
      <c r="F22" s="1">
        <v>-3.55616128</v>
      </c>
      <c r="G22" s="3">
        <v>10.017355718309858</v>
      </c>
      <c r="H22">
        <f t="shared" si="1"/>
        <v>-34.885942156799999</v>
      </c>
      <c r="I22" s="1"/>
    </row>
    <row r="23" spans="1:9" x14ac:dyDescent="0.25">
      <c r="A23">
        <v>1184</v>
      </c>
      <c r="B23" s="2">
        <v>3211.02</v>
      </c>
      <c r="C23">
        <v>17.11</v>
      </c>
      <c r="D23">
        <v>20</v>
      </c>
      <c r="E23" s="3">
        <f t="shared" si="0"/>
        <v>342.2</v>
      </c>
      <c r="F23" s="1">
        <v>-3.4790506400000001</v>
      </c>
      <c r="G23" s="3">
        <v>10.16671724137931</v>
      </c>
      <c r="H23">
        <f t="shared" si="1"/>
        <v>-34.1294867784</v>
      </c>
      <c r="I23" s="1"/>
    </row>
    <row r="24" spans="1:9" x14ac:dyDescent="0.25">
      <c r="A24">
        <v>1188</v>
      </c>
      <c r="B24" s="2">
        <v>3184.46</v>
      </c>
      <c r="C24">
        <v>16.43</v>
      </c>
      <c r="D24">
        <v>20</v>
      </c>
      <c r="E24" s="3">
        <f t="shared" si="0"/>
        <v>328.6</v>
      </c>
      <c r="F24" s="1">
        <v>-3.3565807999999997</v>
      </c>
      <c r="G24" s="3">
        <v>10.214792452830187</v>
      </c>
      <c r="H24">
        <f t="shared" si="1"/>
        <v>-32.928057647999999</v>
      </c>
      <c r="I24" s="1"/>
    </row>
    <row r="25" spans="1:9" x14ac:dyDescent="0.25">
      <c r="A25">
        <v>1192</v>
      </c>
      <c r="B25" s="2">
        <v>3138.89</v>
      </c>
      <c r="C25">
        <v>15.81</v>
      </c>
      <c r="D25">
        <v>20</v>
      </c>
      <c r="E25" s="3">
        <f t="shared" si="0"/>
        <v>316.2</v>
      </c>
      <c r="F25" s="1">
        <v>-3.2885420000000001</v>
      </c>
      <c r="G25" s="3">
        <v>10.400196078431373</v>
      </c>
      <c r="H25">
        <f t="shared" si="1"/>
        <v>-32.260597020000006</v>
      </c>
      <c r="I25" s="1"/>
    </row>
    <row r="26" spans="1:9" x14ac:dyDescent="0.25">
      <c r="A26">
        <v>1196</v>
      </c>
      <c r="B26" s="2">
        <v>3107.37</v>
      </c>
      <c r="C26">
        <v>15.23</v>
      </c>
      <c r="D26">
        <v>20</v>
      </c>
      <c r="E26" s="3">
        <f t="shared" si="0"/>
        <v>304.60000000000002</v>
      </c>
      <c r="F26" s="1">
        <v>-3.1615362399999998</v>
      </c>
      <c r="G26" s="3">
        <v>10.379304793171372</v>
      </c>
      <c r="H26">
        <f t="shared" si="1"/>
        <v>-31.014670514399999</v>
      </c>
      <c r="I26" s="1"/>
    </row>
    <row r="27" spans="1:9" x14ac:dyDescent="0.25">
      <c r="A27">
        <v>1200</v>
      </c>
      <c r="B27" s="2">
        <v>3046.25</v>
      </c>
      <c r="C27">
        <v>14.74</v>
      </c>
      <c r="D27">
        <v>20</v>
      </c>
      <c r="E27" s="3">
        <f t="shared" si="0"/>
        <v>294.8</v>
      </c>
      <c r="F27" s="1">
        <v>-3.12524888</v>
      </c>
      <c r="G27" s="3">
        <v>10.601251289009497</v>
      </c>
      <c r="H27">
        <f t="shared" si="1"/>
        <v>-30.658691512800001</v>
      </c>
      <c r="I27" s="1"/>
    </row>
    <row r="28" spans="1:9" x14ac:dyDescent="0.25">
      <c r="A28">
        <v>1204</v>
      </c>
      <c r="B28" s="2">
        <v>3033.58</v>
      </c>
      <c r="C28">
        <v>14.12</v>
      </c>
      <c r="D28">
        <v>20</v>
      </c>
      <c r="E28" s="3">
        <f t="shared" si="0"/>
        <v>282.39999999999998</v>
      </c>
      <c r="F28" s="1">
        <v>-3.0027790400000001</v>
      </c>
      <c r="G28" s="3">
        <v>10.633070254957508</v>
      </c>
      <c r="H28">
        <f t="shared" si="1"/>
        <v>-29.457262382400003</v>
      </c>
      <c r="I28" s="1"/>
    </row>
    <row r="29" spans="1:9" x14ac:dyDescent="0.25">
      <c r="A29">
        <v>1208</v>
      </c>
      <c r="B29" s="2">
        <v>2982.83</v>
      </c>
      <c r="C29">
        <v>13.66</v>
      </c>
      <c r="D29">
        <v>20</v>
      </c>
      <c r="E29" s="3">
        <f t="shared" si="0"/>
        <v>273.2</v>
      </c>
      <c r="F29" s="1">
        <v>-2.9438120799999998</v>
      </c>
      <c r="G29" s="3">
        <v>10.775300439238652</v>
      </c>
      <c r="H29">
        <f t="shared" si="1"/>
        <v>-28.8787965048</v>
      </c>
      <c r="I29" s="1"/>
    </row>
    <row r="30" spans="1:9" x14ac:dyDescent="0.25">
      <c r="A30">
        <v>1212</v>
      </c>
      <c r="B30" s="2">
        <v>2951.77</v>
      </c>
      <c r="C30">
        <v>13.22</v>
      </c>
      <c r="D30">
        <v>20</v>
      </c>
      <c r="E30" s="3">
        <f t="shared" si="0"/>
        <v>264.40000000000003</v>
      </c>
      <c r="F30" s="1">
        <v>-2.8712373599999998</v>
      </c>
      <c r="G30" s="3">
        <v>10.859445385779122</v>
      </c>
      <c r="H30">
        <f t="shared" si="1"/>
        <v>-28.166838501600001</v>
      </c>
      <c r="I30" s="1"/>
    </row>
    <row r="31" spans="1:9" x14ac:dyDescent="0.25">
      <c r="A31">
        <v>1216</v>
      </c>
      <c r="B31" s="2">
        <v>2926.97</v>
      </c>
      <c r="C31">
        <v>12.69</v>
      </c>
      <c r="D31">
        <v>20</v>
      </c>
      <c r="E31" s="3">
        <f t="shared" si="0"/>
        <v>253.79999999999998</v>
      </c>
      <c r="F31" s="1">
        <v>-2.7759830399999998</v>
      </c>
      <c r="G31" s="3">
        <v>10.937679432624115</v>
      </c>
      <c r="H31">
        <f t="shared" si="1"/>
        <v>-27.2323936224</v>
      </c>
      <c r="I31" s="1"/>
    </row>
    <row r="32" spans="1:9" x14ac:dyDescent="0.25">
      <c r="A32">
        <v>1220</v>
      </c>
      <c r="B32" s="2">
        <v>2890.88</v>
      </c>
      <c r="C32">
        <v>12.36</v>
      </c>
      <c r="D32">
        <v>20</v>
      </c>
      <c r="E32" s="3">
        <f t="shared" si="0"/>
        <v>247.2</v>
      </c>
      <c r="F32" s="1">
        <v>-2.7351597599999997</v>
      </c>
      <c r="G32" s="3">
        <v>11.064562135922328</v>
      </c>
      <c r="H32">
        <f t="shared" si="1"/>
        <v>-26.8319172456</v>
      </c>
      <c r="I32" s="1"/>
    </row>
    <row r="33" spans="1:9" x14ac:dyDescent="0.25">
      <c r="A33">
        <v>1224</v>
      </c>
      <c r="B33" s="2">
        <v>2855.69</v>
      </c>
      <c r="C33">
        <v>12.01</v>
      </c>
      <c r="D33">
        <v>20</v>
      </c>
      <c r="E33" s="3">
        <f t="shared" si="0"/>
        <v>240.2</v>
      </c>
      <c r="F33" s="1">
        <v>-2.67165688</v>
      </c>
      <c r="G33" s="3">
        <v>11.122634804329724</v>
      </c>
      <c r="H33">
        <f t="shared" si="1"/>
        <v>-26.208953992800001</v>
      </c>
      <c r="I33" s="1"/>
    </row>
    <row r="34" spans="1:9" x14ac:dyDescent="0.25">
      <c r="A34">
        <v>1228</v>
      </c>
      <c r="B34" s="2">
        <v>2824.44</v>
      </c>
      <c r="C34">
        <v>11.57</v>
      </c>
      <c r="D34">
        <v>20</v>
      </c>
      <c r="E34" s="3">
        <f t="shared" si="0"/>
        <v>231.4</v>
      </c>
      <c r="F34" s="1">
        <v>-2.6036180799999995</v>
      </c>
      <c r="G34" s="3">
        <v>11.251590665514259</v>
      </c>
      <c r="H34">
        <f t="shared" si="1"/>
        <v>-25.541493364799997</v>
      </c>
      <c r="I34" s="1"/>
    </row>
    <row r="35" spans="1:9" x14ac:dyDescent="0.25">
      <c r="A35">
        <v>1232</v>
      </c>
      <c r="B35" s="2">
        <v>2796.77</v>
      </c>
      <c r="C35">
        <v>11.27</v>
      </c>
      <c r="D35">
        <v>20</v>
      </c>
      <c r="E35" s="3">
        <f t="shared" ref="E35:E66" si="2">D35*C35</f>
        <v>225.39999999999998</v>
      </c>
      <c r="F35" s="1">
        <v>-2.5446511199999997</v>
      </c>
      <c r="G35" s="3">
        <v>11.289490328305234</v>
      </c>
      <c r="H35">
        <f t="shared" si="1"/>
        <v>-24.963027487199998</v>
      </c>
      <c r="I35" s="1"/>
    </row>
    <row r="36" spans="1:9" x14ac:dyDescent="0.25">
      <c r="A36">
        <v>1236</v>
      </c>
      <c r="B36" s="2">
        <v>2765.96</v>
      </c>
      <c r="C36">
        <v>10.84</v>
      </c>
      <c r="D36">
        <v>20</v>
      </c>
      <c r="E36" s="3">
        <f t="shared" si="2"/>
        <v>216.8</v>
      </c>
      <c r="F36" s="1">
        <v>-2.4992919199999997</v>
      </c>
      <c r="G36" s="3">
        <v>11.528099261992617</v>
      </c>
      <c r="H36">
        <f t="shared" si="1"/>
        <v>-24.518053735199999</v>
      </c>
      <c r="I36" s="1"/>
    </row>
    <row r="37" spans="1:9" x14ac:dyDescent="0.25">
      <c r="A37">
        <v>1240</v>
      </c>
      <c r="B37" s="2">
        <v>2730.54</v>
      </c>
      <c r="C37">
        <v>10.54</v>
      </c>
      <c r="D37">
        <v>20</v>
      </c>
      <c r="E37" s="3">
        <f t="shared" si="2"/>
        <v>210.79999999999998</v>
      </c>
      <c r="F37" s="1">
        <v>-2.43578904</v>
      </c>
      <c r="G37" s="3">
        <v>11.554976470588237</v>
      </c>
      <c r="H37">
        <f t="shared" si="1"/>
        <v>-23.895090482400001</v>
      </c>
      <c r="I37" s="1"/>
    </row>
    <row r="38" spans="1:9" x14ac:dyDescent="0.25">
      <c r="A38">
        <v>1244</v>
      </c>
      <c r="B38" s="2">
        <v>2698.09</v>
      </c>
      <c r="C38">
        <v>10.220000000000001</v>
      </c>
      <c r="D38">
        <v>20</v>
      </c>
      <c r="E38" s="3">
        <f t="shared" si="2"/>
        <v>204.4</v>
      </c>
      <c r="F38" s="1">
        <v>-2.4040376000000001</v>
      </c>
      <c r="G38" s="3">
        <v>11.761436399217219</v>
      </c>
      <c r="H38">
        <f t="shared" si="1"/>
        <v>-23.583608856000001</v>
      </c>
      <c r="I38" s="1"/>
    </row>
    <row r="39" spans="1:9" x14ac:dyDescent="0.25">
      <c r="A39">
        <v>1248</v>
      </c>
      <c r="B39" s="2">
        <v>2679.15</v>
      </c>
      <c r="C39">
        <v>9.77</v>
      </c>
      <c r="D39">
        <v>20</v>
      </c>
      <c r="E39" s="3">
        <f t="shared" si="2"/>
        <v>195.39999999999998</v>
      </c>
      <c r="F39" s="1">
        <v>-2.3133192</v>
      </c>
      <c r="G39" s="3">
        <v>11.838890481064483</v>
      </c>
      <c r="H39">
        <f t="shared" si="1"/>
        <v>-22.693661352000003</v>
      </c>
      <c r="I39" s="1"/>
    </row>
    <row r="40" spans="1:9" x14ac:dyDescent="0.25">
      <c r="A40">
        <v>1252</v>
      </c>
      <c r="B40" s="2">
        <v>2635.69</v>
      </c>
      <c r="C40">
        <v>9.4</v>
      </c>
      <c r="D40">
        <v>20</v>
      </c>
      <c r="E40" s="3">
        <f t="shared" si="2"/>
        <v>188</v>
      </c>
      <c r="F40" s="1">
        <v>-2.2634240799999996</v>
      </c>
      <c r="G40" s="3">
        <v>12.039489787234041</v>
      </c>
      <c r="H40">
        <f t="shared" si="1"/>
        <v>-22.204190224799998</v>
      </c>
      <c r="I40" s="1"/>
    </row>
    <row r="41" spans="1:9" x14ac:dyDescent="0.25">
      <c r="A41">
        <v>1256</v>
      </c>
      <c r="B41" s="2">
        <v>2623.28</v>
      </c>
      <c r="C41">
        <v>8.9600000000000009</v>
      </c>
      <c r="D41">
        <v>20</v>
      </c>
      <c r="E41" s="3">
        <f t="shared" si="2"/>
        <v>179.20000000000002</v>
      </c>
      <c r="F41" s="1">
        <v>-2.1999211999999999</v>
      </c>
      <c r="G41" s="3">
        <v>12.276345982142855</v>
      </c>
      <c r="H41">
        <f t="shared" si="1"/>
        <v>-21.581226972</v>
      </c>
      <c r="I41" s="1"/>
    </row>
    <row r="42" spans="1:9" x14ac:dyDescent="0.25">
      <c r="A42">
        <v>1260</v>
      </c>
      <c r="B42" s="2">
        <v>2578.9</v>
      </c>
      <c r="C42">
        <v>8.6</v>
      </c>
      <c r="D42">
        <v>20</v>
      </c>
      <c r="E42" s="3">
        <f t="shared" si="2"/>
        <v>172</v>
      </c>
      <c r="F42" s="1">
        <v>-2.1409542399999997</v>
      </c>
      <c r="G42" s="3">
        <v>12.447408372093024</v>
      </c>
      <c r="H42">
        <f t="shared" si="1"/>
        <v>-21.002761094399997</v>
      </c>
      <c r="I42" s="1"/>
    </row>
    <row r="43" spans="1:9" x14ac:dyDescent="0.25">
      <c r="A43">
        <v>1264</v>
      </c>
      <c r="B43" s="2">
        <v>2553.98</v>
      </c>
      <c r="C43">
        <v>8.2899999999999991</v>
      </c>
      <c r="D43">
        <v>20</v>
      </c>
      <c r="E43" s="3">
        <f t="shared" si="2"/>
        <v>165.79999999999998</v>
      </c>
      <c r="F43" s="1">
        <v>-2.1092027999999998</v>
      </c>
      <c r="G43" s="3">
        <v>12.72136791314837</v>
      </c>
      <c r="H43">
        <f t="shared" si="1"/>
        <v>-20.691279467999998</v>
      </c>
      <c r="I43" s="1"/>
    </row>
    <row r="44" spans="1:9" x14ac:dyDescent="0.25">
      <c r="A44">
        <v>1268</v>
      </c>
      <c r="B44" s="2">
        <v>2523.0700000000002</v>
      </c>
      <c r="C44">
        <v>7.87</v>
      </c>
      <c r="D44">
        <v>20</v>
      </c>
      <c r="E44" s="3">
        <f t="shared" si="2"/>
        <v>157.4</v>
      </c>
      <c r="F44" s="1">
        <v>-2.0411640000000002</v>
      </c>
      <c r="G44" s="3">
        <v>12.968005082592121</v>
      </c>
      <c r="H44">
        <f t="shared" si="1"/>
        <v>-20.023818840000004</v>
      </c>
      <c r="I44" s="1"/>
    </row>
    <row r="45" spans="1:9" x14ac:dyDescent="0.25">
      <c r="A45">
        <v>1272</v>
      </c>
      <c r="B45" s="2">
        <v>2486.89</v>
      </c>
      <c r="C45">
        <v>7.48</v>
      </c>
      <c r="D45">
        <v>20</v>
      </c>
      <c r="E45" s="3">
        <f t="shared" si="2"/>
        <v>149.60000000000002</v>
      </c>
      <c r="F45" s="1">
        <v>-1.96858928</v>
      </c>
      <c r="G45" s="3">
        <v>13.159019251336895</v>
      </c>
      <c r="H45">
        <f t="shared" si="1"/>
        <v>-19.311860836800001</v>
      </c>
      <c r="I45" s="1"/>
    </row>
    <row r="46" spans="1:9" x14ac:dyDescent="0.25">
      <c r="A46">
        <v>1276</v>
      </c>
      <c r="B46" s="2">
        <v>2453.36</v>
      </c>
      <c r="C46">
        <v>7.03</v>
      </c>
      <c r="D46">
        <v>20</v>
      </c>
      <c r="E46" s="3">
        <f t="shared" si="2"/>
        <v>140.6</v>
      </c>
      <c r="F46" s="1">
        <v>-1.9141582399999999</v>
      </c>
      <c r="G46" s="3">
        <v>13.614212233285917</v>
      </c>
      <c r="H46">
        <f t="shared" si="1"/>
        <v>-18.777892334400001</v>
      </c>
      <c r="I46" s="1"/>
    </row>
    <row r="47" spans="1:9" x14ac:dyDescent="0.25">
      <c r="A47">
        <v>1280</v>
      </c>
      <c r="B47" s="2">
        <v>2413.91</v>
      </c>
      <c r="C47">
        <v>6.6</v>
      </c>
      <c r="D47">
        <v>20</v>
      </c>
      <c r="E47" s="3">
        <f t="shared" si="2"/>
        <v>132</v>
      </c>
      <c r="F47" s="1">
        <v>-1.8551912799999999</v>
      </c>
      <c r="G47" s="3">
        <v>14.054479393939392</v>
      </c>
      <c r="H47">
        <f t="shared" si="1"/>
        <v>-18.199426456800001</v>
      </c>
      <c r="I47" s="1"/>
    </row>
    <row r="48" spans="1:9" x14ac:dyDescent="0.25">
      <c r="A48">
        <v>1284</v>
      </c>
      <c r="B48" s="2">
        <v>2367.3000000000002</v>
      </c>
      <c r="C48">
        <v>6.3</v>
      </c>
      <c r="D48">
        <v>20</v>
      </c>
      <c r="E48" s="3">
        <f t="shared" si="2"/>
        <v>126</v>
      </c>
      <c r="F48" s="1">
        <v>-1.7962243200000001</v>
      </c>
      <c r="G48" s="3">
        <v>14.255748571428573</v>
      </c>
      <c r="H48">
        <f t="shared" si="1"/>
        <v>-17.620960579200002</v>
      </c>
      <c r="I48" s="1"/>
    </row>
    <row r="49" spans="1:9" x14ac:dyDescent="0.25">
      <c r="A49">
        <v>1288</v>
      </c>
      <c r="B49" s="2">
        <v>2345.83</v>
      </c>
      <c r="C49">
        <v>5.97</v>
      </c>
      <c r="D49">
        <v>20</v>
      </c>
      <c r="E49" s="3">
        <f t="shared" si="2"/>
        <v>119.39999999999999</v>
      </c>
      <c r="F49" s="1">
        <v>-1.72818552</v>
      </c>
      <c r="G49" s="3">
        <v>14.473915577889448</v>
      </c>
      <c r="H49">
        <f t="shared" si="1"/>
        <v>-16.953499951200001</v>
      </c>
      <c r="I49" s="1"/>
    </row>
    <row r="50" spans="1:9" x14ac:dyDescent="0.25">
      <c r="A50">
        <v>1292</v>
      </c>
      <c r="B50" s="2">
        <v>2300.39</v>
      </c>
      <c r="C50">
        <v>5.7</v>
      </c>
      <c r="D50">
        <v>20</v>
      </c>
      <c r="E50" s="3">
        <f t="shared" si="2"/>
        <v>114</v>
      </c>
      <c r="F50" s="1">
        <v>-1.6737544800000002</v>
      </c>
      <c r="G50" s="3">
        <v>14.682056842105263</v>
      </c>
      <c r="H50">
        <f t="shared" si="1"/>
        <v>-16.419531448800001</v>
      </c>
      <c r="I50" s="1"/>
    </row>
    <row r="51" spans="1:9" x14ac:dyDescent="0.25">
      <c r="A51">
        <v>1296</v>
      </c>
      <c r="B51" s="2">
        <v>2265.2600000000002</v>
      </c>
      <c r="C51">
        <v>5.41</v>
      </c>
      <c r="D51">
        <v>20</v>
      </c>
      <c r="E51" s="3">
        <f t="shared" si="2"/>
        <v>108.2</v>
      </c>
      <c r="F51" s="1">
        <v>-1.6374671200000002</v>
      </c>
      <c r="G51" s="3">
        <v>15.133707208872458</v>
      </c>
      <c r="H51">
        <f t="shared" si="1"/>
        <v>-16.063552447200003</v>
      </c>
      <c r="I51" s="1"/>
    </row>
    <row r="52" spans="1:9" x14ac:dyDescent="0.25">
      <c r="A52">
        <v>1300</v>
      </c>
      <c r="B52" s="2">
        <v>2228.83</v>
      </c>
      <c r="C52">
        <v>5.16</v>
      </c>
      <c r="D52">
        <v>20</v>
      </c>
      <c r="E52" s="3">
        <f t="shared" si="2"/>
        <v>103.2</v>
      </c>
      <c r="F52" s="1">
        <v>-1.5830360800000001</v>
      </c>
      <c r="G52" s="3">
        <v>15.339496899224807</v>
      </c>
      <c r="H52">
        <f t="shared" si="1"/>
        <v>-15.529583944800001</v>
      </c>
      <c r="I52" s="1"/>
    </row>
    <row r="53" spans="1:9" x14ac:dyDescent="0.25">
      <c r="A53">
        <v>1304</v>
      </c>
      <c r="B53" s="2">
        <v>2191.9899999999998</v>
      </c>
      <c r="C53">
        <v>4.88</v>
      </c>
      <c r="D53">
        <v>20</v>
      </c>
      <c r="E53" s="3">
        <f t="shared" si="2"/>
        <v>97.6</v>
      </c>
      <c r="F53" s="1">
        <v>-1.5195331999999999</v>
      </c>
      <c r="G53" s="3">
        <v>15.568987704918035</v>
      </c>
      <c r="H53">
        <f t="shared" si="1"/>
        <v>-14.906620692000001</v>
      </c>
      <c r="I53" s="1"/>
    </row>
    <row r="54" spans="1:9" x14ac:dyDescent="0.25">
      <c r="A54">
        <v>1308</v>
      </c>
      <c r="B54" s="2">
        <v>2165.6799999999998</v>
      </c>
      <c r="C54">
        <v>4.5999999999999996</v>
      </c>
      <c r="D54">
        <v>20</v>
      </c>
      <c r="E54" s="3">
        <f t="shared" si="2"/>
        <v>92</v>
      </c>
      <c r="F54" s="1">
        <v>-1.4741740000000001</v>
      </c>
      <c r="G54" s="3">
        <v>16.023630434782607</v>
      </c>
      <c r="H54">
        <f t="shared" si="1"/>
        <v>-14.461646940000001</v>
      </c>
      <c r="I54" s="1"/>
    </row>
    <row r="55" spans="1:9" x14ac:dyDescent="0.25">
      <c r="A55">
        <v>1312</v>
      </c>
      <c r="B55" s="2">
        <v>2134.5</v>
      </c>
      <c r="C55">
        <v>4.3099999999999996</v>
      </c>
      <c r="D55">
        <v>20</v>
      </c>
      <c r="E55" s="3">
        <f t="shared" si="2"/>
        <v>86.199999999999989</v>
      </c>
      <c r="F55" s="1">
        <v>-1.4106711200000002</v>
      </c>
      <c r="G55" s="3">
        <v>16.365094199535967</v>
      </c>
      <c r="H55">
        <f t="shared" si="1"/>
        <v>-13.838683687200003</v>
      </c>
      <c r="I55" s="1"/>
    </row>
    <row r="56" spans="1:9" x14ac:dyDescent="0.25">
      <c r="A56">
        <v>1316</v>
      </c>
      <c r="B56" s="2">
        <v>2092.63</v>
      </c>
      <c r="C56">
        <v>4.09</v>
      </c>
      <c r="D56">
        <v>20</v>
      </c>
      <c r="E56" s="3">
        <f t="shared" si="2"/>
        <v>81.8</v>
      </c>
      <c r="F56" s="1">
        <v>-1.3743837600000002</v>
      </c>
      <c r="G56" s="3">
        <v>16.801757457212716</v>
      </c>
      <c r="H56">
        <f t="shared" si="1"/>
        <v>-13.482704685600002</v>
      </c>
      <c r="I56" s="1"/>
    </row>
    <row r="57" spans="1:9" x14ac:dyDescent="0.25">
      <c r="A57">
        <v>1320</v>
      </c>
      <c r="B57" s="2">
        <v>2049.5</v>
      </c>
      <c r="C57">
        <v>3.81</v>
      </c>
      <c r="D57">
        <v>20</v>
      </c>
      <c r="E57" s="3">
        <f t="shared" si="2"/>
        <v>76.2</v>
      </c>
      <c r="F57" s="1">
        <v>-1.3244886400000002</v>
      </c>
      <c r="G57" s="3">
        <v>17.381740682414698</v>
      </c>
      <c r="H57">
        <f t="shared" si="1"/>
        <v>-12.993233558400004</v>
      </c>
      <c r="I57" s="1"/>
    </row>
    <row r="58" spans="1:9" x14ac:dyDescent="0.25">
      <c r="A58">
        <v>1324</v>
      </c>
      <c r="B58" s="2">
        <v>2008.63</v>
      </c>
      <c r="C58">
        <v>3.58</v>
      </c>
      <c r="D58">
        <v>20</v>
      </c>
      <c r="E58" s="3">
        <f t="shared" si="2"/>
        <v>71.599999999999994</v>
      </c>
      <c r="F58" s="1">
        <v>-1.2700576000000001</v>
      </c>
      <c r="G58" s="3">
        <v>17.73823463687151</v>
      </c>
      <c r="H58">
        <f t="shared" si="1"/>
        <v>-12.459265056000001</v>
      </c>
      <c r="I58" s="1"/>
    </row>
    <row r="59" spans="1:9" x14ac:dyDescent="0.25">
      <c r="A59">
        <v>1328</v>
      </c>
      <c r="B59" s="2">
        <v>1972.27</v>
      </c>
      <c r="C59">
        <v>3.32</v>
      </c>
      <c r="D59">
        <v>20</v>
      </c>
      <c r="E59" s="3">
        <f t="shared" si="2"/>
        <v>66.399999999999991</v>
      </c>
      <c r="F59" s="1">
        <v>-1.2201624800000002</v>
      </c>
      <c r="G59" s="3">
        <v>18.375940963855427</v>
      </c>
      <c r="H59">
        <f t="shared" si="1"/>
        <v>-11.969793928800001</v>
      </c>
      <c r="I59" s="1"/>
    </row>
    <row r="60" spans="1:9" x14ac:dyDescent="0.25">
      <c r="A60">
        <v>1332</v>
      </c>
      <c r="B60" s="2">
        <v>1927.44</v>
      </c>
      <c r="C60">
        <v>3.09</v>
      </c>
      <c r="D60">
        <v>20</v>
      </c>
      <c r="E60" s="3">
        <f t="shared" si="2"/>
        <v>61.8</v>
      </c>
      <c r="F60" s="1">
        <v>-1.17026736</v>
      </c>
      <c r="G60" s="3">
        <v>18.936365048543692</v>
      </c>
      <c r="H60">
        <f t="shared" si="1"/>
        <v>-11.4803228016</v>
      </c>
      <c r="I60" s="1"/>
    </row>
    <row r="61" spans="1:9" x14ac:dyDescent="0.25">
      <c r="A61">
        <v>1336</v>
      </c>
      <c r="B61" s="2">
        <v>1895.26</v>
      </c>
      <c r="C61">
        <v>2.9</v>
      </c>
      <c r="D61">
        <v>20</v>
      </c>
      <c r="E61" s="3">
        <f t="shared" si="2"/>
        <v>58</v>
      </c>
      <c r="F61" s="1">
        <v>-1.1067644800000003</v>
      </c>
      <c r="G61" s="3">
        <v>19.082146206896553</v>
      </c>
      <c r="H61">
        <f t="shared" si="1"/>
        <v>-10.857359548800003</v>
      </c>
      <c r="I61" s="1"/>
    </row>
    <row r="62" spans="1:9" x14ac:dyDescent="0.25">
      <c r="A62">
        <v>1340</v>
      </c>
      <c r="B62" s="2">
        <v>1852.72</v>
      </c>
      <c r="C62">
        <v>2.71</v>
      </c>
      <c r="D62">
        <v>20</v>
      </c>
      <c r="E62" s="3">
        <f t="shared" si="2"/>
        <v>54.2</v>
      </c>
      <c r="F62" s="1">
        <v>-1.0659411999999999</v>
      </c>
      <c r="G62" s="3">
        <v>19.66681180811808</v>
      </c>
      <c r="H62">
        <f t="shared" si="1"/>
        <v>-10.456883172</v>
      </c>
      <c r="I62" s="1"/>
    </row>
    <row r="63" spans="1:9" x14ac:dyDescent="0.25">
      <c r="A63">
        <v>1344</v>
      </c>
      <c r="B63" s="2">
        <v>1815.85</v>
      </c>
      <c r="C63">
        <v>2.46</v>
      </c>
      <c r="D63">
        <v>20</v>
      </c>
      <c r="E63" s="3">
        <f t="shared" si="2"/>
        <v>49.2</v>
      </c>
      <c r="F63" s="1">
        <v>-1.0205820000000001</v>
      </c>
      <c r="G63" s="3">
        <v>20.743536585365852</v>
      </c>
      <c r="H63">
        <f t="shared" si="1"/>
        <v>-10.011909420000002</v>
      </c>
      <c r="I63" s="1"/>
    </row>
    <row r="64" spans="1:9" x14ac:dyDescent="0.25">
      <c r="A64">
        <v>1348</v>
      </c>
      <c r="B64" s="2">
        <v>1779.35</v>
      </c>
      <c r="C64">
        <v>2.2999999999999998</v>
      </c>
      <c r="D64">
        <v>20</v>
      </c>
      <c r="E64" s="3">
        <f t="shared" si="2"/>
        <v>46</v>
      </c>
      <c r="F64" s="1">
        <v>-0.98883056000000003</v>
      </c>
      <c r="G64" s="3">
        <v>21.496316521739129</v>
      </c>
      <c r="H64">
        <f t="shared" si="1"/>
        <v>-9.7004277936000012</v>
      </c>
      <c r="I64" s="1"/>
    </row>
    <row r="65" spans="1:9" x14ac:dyDescent="0.25">
      <c r="A65">
        <v>1352</v>
      </c>
      <c r="B65" s="2">
        <v>1748</v>
      </c>
      <c r="C65">
        <v>2.1</v>
      </c>
      <c r="D65">
        <v>20</v>
      </c>
      <c r="E65" s="3">
        <f t="shared" si="2"/>
        <v>42</v>
      </c>
      <c r="F65" s="1">
        <v>-0.94347135999999998</v>
      </c>
      <c r="G65" s="3">
        <v>22.463603809523811</v>
      </c>
      <c r="H65">
        <f t="shared" si="1"/>
        <v>-9.2554540416000002</v>
      </c>
      <c r="I65" s="1"/>
    </row>
    <row r="66" spans="1:9" x14ac:dyDescent="0.25">
      <c r="A66">
        <v>1356</v>
      </c>
      <c r="B66" s="2">
        <v>1717.84</v>
      </c>
      <c r="C66">
        <v>2</v>
      </c>
      <c r="D66">
        <v>20</v>
      </c>
      <c r="E66" s="3">
        <f t="shared" si="2"/>
        <v>40</v>
      </c>
      <c r="F66" s="1">
        <v>-0.90718399999999988</v>
      </c>
      <c r="G66" s="3">
        <v>22.679599999999997</v>
      </c>
      <c r="H66">
        <f t="shared" si="1"/>
        <v>-8.8994750399999987</v>
      </c>
      <c r="I66" s="1"/>
    </row>
    <row r="67" spans="1:9" x14ac:dyDescent="0.25">
      <c r="A67">
        <v>1360</v>
      </c>
      <c r="B67" s="2">
        <v>1676.08</v>
      </c>
      <c r="C67">
        <v>1.84</v>
      </c>
      <c r="D67">
        <v>20</v>
      </c>
      <c r="E67" s="3">
        <f t="shared" ref="E67:E98" si="3">D67*C67</f>
        <v>36.800000000000004</v>
      </c>
      <c r="F67" s="1">
        <v>-0.87543255999999992</v>
      </c>
      <c r="G67" s="3">
        <v>23.788928260869561</v>
      </c>
      <c r="H67">
        <f t="shared" ref="H67:H130" si="4">F67*9.81</f>
        <v>-8.5879934135999996</v>
      </c>
      <c r="I67" s="1"/>
    </row>
    <row r="68" spans="1:9" x14ac:dyDescent="0.25">
      <c r="A68">
        <v>1364</v>
      </c>
      <c r="B68" s="2">
        <v>1643.03</v>
      </c>
      <c r="C68">
        <v>1.7</v>
      </c>
      <c r="D68">
        <v>20</v>
      </c>
      <c r="E68" s="3">
        <f t="shared" si="3"/>
        <v>34</v>
      </c>
      <c r="F68" s="1">
        <v>-0.83007335999999998</v>
      </c>
      <c r="G68" s="3">
        <v>24.413922352941174</v>
      </c>
      <c r="H68">
        <f t="shared" si="4"/>
        <v>-8.1430196616000003</v>
      </c>
      <c r="I68" s="1"/>
    </row>
    <row r="69" spans="1:9" x14ac:dyDescent="0.25">
      <c r="A69">
        <v>1368</v>
      </c>
      <c r="B69" s="2">
        <v>1596.56</v>
      </c>
      <c r="C69">
        <v>1.59</v>
      </c>
      <c r="D69">
        <v>20</v>
      </c>
      <c r="E69" s="3">
        <f t="shared" si="3"/>
        <v>31.8</v>
      </c>
      <c r="F69" s="1">
        <v>-0.78017824000000002</v>
      </c>
      <c r="G69" s="3">
        <v>24.533906918238991</v>
      </c>
      <c r="H69">
        <f t="shared" si="4"/>
        <v>-7.6535485344000005</v>
      </c>
      <c r="I69" s="1"/>
    </row>
    <row r="70" spans="1:9" x14ac:dyDescent="0.25">
      <c r="A70">
        <v>1372</v>
      </c>
      <c r="B70" s="2">
        <v>1559.65</v>
      </c>
      <c r="C70">
        <v>1.5</v>
      </c>
      <c r="D70">
        <v>20</v>
      </c>
      <c r="E70" s="3">
        <f t="shared" si="3"/>
        <v>30</v>
      </c>
      <c r="F70" s="1">
        <v>-0.75296271999999997</v>
      </c>
      <c r="G70" s="3">
        <v>25.098757333333332</v>
      </c>
      <c r="H70">
        <f t="shared" si="4"/>
        <v>-7.3865642832000002</v>
      </c>
      <c r="I70" s="1"/>
    </row>
    <row r="71" spans="1:9" x14ac:dyDescent="0.25">
      <c r="A71">
        <v>1376</v>
      </c>
      <c r="B71" s="2">
        <v>1526</v>
      </c>
      <c r="C71">
        <v>1.3</v>
      </c>
      <c r="D71">
        <v>20</v>
      </c>
      <c r="E71" s="3">
        <f t="shared" si="3"/>
        <v>26</v>
      </c>
      <c r="F71" s="1">
        <v>-0.71667535999999998</v>
      </c>
      <c r="G71" s="3">
        <v>27.564436923076922</v>
      </c>
      <c r="H71">
        <f t="shared" si="4"/>
        <v>-7.0305852816000005</v>
      </c>
      <c r="I71" s="1"/>
    </row>
    <row r="72" spans="1:9" x14ac:dyDescent="0.25">
      <c r="A72">
        <v>1380</v>
      </c>
      <c r="B72" s="2">
        <v>1493.24</v>
      </c>
      <c r="C72">
        <v>1.29</v>
      </c>
      <c r="D72">
        <v>20</v>
      </c>
      <c r="E72" s="3">
        <f t="shared" si="3"/>
        <v>25.8</v>
      </c>
      <c r="F72" s="1">
        <v>-0.68945984000000005</v>
      </c>
      <c r="G72" s="3">
        <v>26.723249612403098</v>
      </c>
      <c r="H72">
        <f t="shared" si="4"/>
        <v>-6.7636010304000012</v>
      </c>
      <c r="I72" s="1"/>
    </row>
    <row r="73" spans="1:9" x14ac:dyDescent="0.25">
      <c r="A73">
        <v>1384</v>
      </c>
      <c r="B73" s="2">
        <v>1461.44</v>
      </c>
      <c r="C73">
        <v>1.2</v>
      </c>
      <c r="D73">
        <v>20</v>
      </c>
      <c r="E73" s="3">
        <f t="shared" si="3"/>
        <v>24</v>
      </c>
      <c r="F73" s="1">
        <v>-0.65770839999999997</v>
      </c>
      <c r="G73" s="3">
        <v>27.404516666666666</v>
      </c>
      <c r="H73">
        <f t="shared" si="4"/>
        <v>-6.4521194040000003</v>
      </c>
      <c r="I73" s="1"/>
    </row>
    <row r="74" spans="1:9" x14ac:dyDescent="0.25">
      <c r="A74">
        <v>1388</v>
      </c>
      <c r="B74" s="2">
        <v>1426</v>
      </c>
      <c r="C74">
        <v>1.05</v>
      </c>
      <c r="D74">
        <v>20</v>
      </c>
      <c r="E74" s="3">
        <f t="shared" si="3"/>
        <v>21</v>
      </c>
      <c r="F74" s="1">
        <v>-0.63049287999999992</v>
      </c>
      <c r="G74" s="3">
        <v>30.023470476190472</v>
      </c>
      <c r="H74">
        <f t="shared" si="4"/>
        <v>-6.1851351527999991</v>
      </c>
      <c r="I74" s="1"/>
    </row>
    <row r="75" spans="1:9" x14ac:dyDescent="0.25">
      <c r="A75">
        <v>1392</v>
      </c>
      <c r="B75" s="2">
        <v>1387.58</v>
      </c>
      <c r="C75">
        <v>1</v>
      </c>
      <c r="D75">
        <v>20</v>
      </c>
      <c r="E75" s="3">
        <f t="shared" si="3"/>
        <v>20</v>
      </c>
      <c r="F75" s="1">
        <v>-0.58966960000000002</v>
      </c>
      <c r="G75" s="3">
        <v>29.483479999999997</v>
      </c>
      <c r="H75">
        <f t="shared" si="4"/>
        <v>-5.7846587760000006</v>
      </c>
      <c r="I75" s="1"/>
    </row>
    <row r="76" spans="1:9" x14ac:dyDescent="0.25">
      <c r="A76">
        <v>1396</v>
      </c>
      <c r="B76" s="2">
        <v>1348.65</v>
      </c>
      <c r="C76">
        <v>0.88</v>
      </c>
      <c r="D76">
        <v>20</v>
      </c>
      <c r="E76" s="3">
        <f t="shared" si="3"/>
        <v>17.600000000000001</v>
      </c>
      <c r="F76" s="1">
        <v>-0.55791815999999994</v>
      </c>
      <c r="G76" s="3">
        <v>31.699895454545448</v>
      </c>
      <c r="H76">
        <f t="shared" si="4"/>
        <v>-5.4731771495999997</v>
      </c>
      <c r="I76" s="1"/>
    </row>
    <row r="77" spans="1:9" x14ac:dyDescent="0.25">
      <c r="A77">
        <v>1400</v>
      </c>
      <c r="B77" s="2">
        <v>1314.84</v>
      </c>
      <c r="C77">
        <v>0.8</v>
      </c>
      <c r="D77">
        <v>20</v>
      </c>
      <c r="E77" s="3">
        <f t="shared" si="3"/>
        <v>16</v>
      </c>
      <c r="F77" s="1">
        <v>-0.53070264</v>
      </c>
      <c r="G77" s="3">
        <v>33.168914999999998</v>
      </c>
      <c r="H77">
        <f t="shared" si="4"/>
        <v>-5.2061928984000003</v>
      </c>
      <c r="I77" s="1"/>
    </row>
    <row r="78" spans="1:9" x14ac:dyDescent="0.25">
      <c r="A78">
        <v>1404</v>
      </c>
      <c r="B78" s="2">
        <v>1277.33</v>
      </c>
      <c r="C78">
        <v>0.7</v>
      </c>
      <c r="D78">
        <v>20</v>
      </c>
      <c r="E78" s="3">
        <f t="shared" si="3"/>
        <v>14</v>
      </c>
      <c r="F78" s="1">
        <v>-0.50348711999999995</v>
      </c>
      <c r="G78" s="3">
        <v>35.963365714285707</v>
      </c>
      <c r="H78">
        <f t="shared" si="4"/>
        <v>-4.9392086472000001</v>
      </c>
      <c r="I78" s="1"/>
    </row>
    <row r="79" spans="1:9" x14ac:dyDescent="0.25">
      <c r="A79">
        <v>1408</v>
      </c>
      <c r="B79" s="2">
        <v>1245.51</v>
      </c>
      <c r="C79">
        <v>0.7</v>
      </c>
      <c r="D79">
        <v>20</v>
      </c>
      <c r="E79" s="3">
        <f t="shared" si="3"/>
        <v>14</v>
      </c>
      <c r="F79" s="1">
        <v>-0.47173567999999999</v>
      </c>
      <c r="G79" s="3">
        <v>33.695405714285712</v>
      </c>
      <c r="H79">
        <f t="shared" si="4"/>
        <v>-4.6277270208000001</v>
      </c>
      <c r="I79" s="1"/>
    </row>
    <row r="80" spans="1:9" x14ac:dyDescent="0.25">
      <c r="A80">
        <v>1412</v>
      </c>
      <c r="B80" s="2">
        <v>1201.32</v>
      </c>
      <c r="C80">
        <v>0.6</v>
      </c>
      <c r="D80">
        <v>20</v>
      </c>
      <c r="E80" s="3">
        <f t="shared" si="3"/>
        <v>12</v>
      </c>
      <c r="F80" s="1">
        <v>-0.44452016</v>
      </c>
      <c r="G80" s="3">
        <v>37.043346666666665</v>
      </c>
      <c r="H80">
        <f t="shared" si="4"/>
        <v>-4.3607427695999998</v>
      </c>
      <c r="I80" s="1"/>
    </row>
    <row r="81" spans="1:9" x14ac:dyDescent="0.25">
      <c r="A81">
        <v>1416</v>
      </c>
      <c r="B81" s="2">
        <v>1158.74</v>
      </c>
      <c r="C81">
        <v>0.5</v>
      </c>
      <c r="D81">
        <v>20</v>
      </c>
      <c r="E81" s="3">
        <f t="shared" si="3"/>
        <v>10</v>
      </c>
      <c r="F81" s="1">
        <v>-0.41276871999999998</v>
      </c>
      <c r="G81" s="3">
        <v>41.276871999999997</v>
      </c>
      <c r="H81">
        <f t="shared" si="4"/>
        <v>-4.0492611431999999</v>
      </c>
      <c r="I81" s="1"/>
    </row>
    <row r="82" spans="1:9" x14ac:dyDescent="0.25">
      <c r="A82">
        <v>1420</v>
      </c>
      <c r="B82" s="2">
        <v>1119.8499999999999</v>
      </c>
      <c r="C82">
        <v>0.5</v>
      </c>
      <c r="D82">
        <v>20</v>
      </c>
      <c r="E82" s="3">
        <f t="shared" si="3"/>
        <v>10</v>
      </c>
      <c r="F82" s="1">
        <v>-0.38555319999999998</v>
      </c>
      <c r="G82" s="3">
        <v>38.555320000000002</v>
      </c>
      <c r="H82">
        <f t="shared" si="4"/>
        <v>-3.7822768920000001</v>
      </c>
      <c r="I82" s="1"/>
    </row>
    <row r="83" spans="1:9" x14ac:dyDescent="0.25">
      <c r="A83">
        <v>1424</v>
      </c>
      <c r="B83" s="2">
        <v>1077.31</v>
      </c>
      <c r="C83">
        <v>0.4</v>
      </c>
      <c r="D83">
        <v>20</v>
      </c>
      <c r="E83" s="3">
        <f t="shared" si="3"/>
        <v>8</v>
      </c>
      <c r="F83" s="1">
        <v>-0.35833767999999994</v>
      </c>
      <c r="G83" s="3">
        <v>44.792209999999997</v>
      </c>
      <c r="H83">
        <f t="shared" si="4"/>
        <v>-3.5152926407999994</v>
      </c>
      <c r="I83" s="1"/>
    </row>
    <row r="84" spans="1:9" x14ac:dyDescent="0.25">
      <c r="A84">
        <v>1428</v>
      </c>
      <c r="B84" s="2">
        <v>1024.3699999999999</v>
      </c>
      <c r="C84">
        <v>0.4</v>
      </c>
      <c r="D84">
        <v>20</v>
      </c>
      <c r="E84" s="3">
        <f t="shared" si="3"/>
        <v>8</v>
      </c>
      <c r="F84" s="1">
        <v>-0.32205032</v>
      </c>
      <c r="G84" s="3">
        <v>40.25629</v>
      </c>
      <c r="H84">
        <f t="shared" si="4"/>
        <v>-3.1593136392000001</v>
      </c>
      <c r="I84" s="1"/>
    </row>
    <row r="85" spans="1:9" x14ac:dyDescent="0.25">
      <c r="A85">
        <v>1432</v>
      </c>
      <c r="B85" s="2">
        <v>981.67</v>
      </c>
      <c r="C85">
        <v>0.3</v>
      </c>
      <c r="D85">
        <v>20</v>
      </c>
      <c r="E85" s="3">
        <f t="shared" si="3"/>
        <v>6</v>
      </c>
      <c r="F85" s="1">
        <v>-0.29483480000000001</v>
      </c>
      <c r="G85" s="3">
        <v>49.139133333333326</v>
      </c>
      <c r="H85">
        <f t="shared" si="4"/>
        <v>-2.8923293880000003</v>
      </c>
      <c r="I85" s="1"/>
    </row>
    <row r="86" spans="1:9" x14ac:dyDescent="0.25">
      <c r="A86">
        <v>1436</v>
      </c>
      <c r="B86" s="2">
        <v>924.72</v>
      </c>
      <c r="C86">
        <v>0.2</v>
      </c>
      <c r="D86">
        <v>20</v>
      </c>
      <c r="E86" s="3">
        <f t="shared" si="3"/>
        <v>4</v>
      </c>
      <c r="F86" s="1">
        <v>-0.26308335999999999</v>
      </c>
      <c r="G86" s="3">
        <v>65.770839999999993</v>
      </c>
      <c r="H86">
        <f t="shared" si="4"/>
        <v>-2.5808477615999998</v>
      </c>
      <c r="I86" s="1"/>
    </row>
    <row r="87" spans="1:9" x14ac:dyDescent="0.25">
      <c r="A87">
        <v>1440</v>
      </c>
      <c r="B87" s="2">
        <v>875.68</v>
      </c>
      <c r="C87">
        <v>0.2</v>
      </c>
      <c r="D87">
        <v>20</v>
      </c>
      <c r="E87" s="3">
        <f t="shared" si="3"/>
        <v>4</v>
      </c>
      <c r="F87" s="1">
        <v>-0.23586784</v>
      </c>
      <c r="G87" s="3">
        <v>58.96696</v>
      </c>
      <c r="H87">
        <f t="shared" si="4"/>
        <v>-2.3138635104</v>
      </c>
      <c r="I87" s="1"/>
    </row>
    <row r="88" spans="1:9" x14ac:dyDescent="0.25">
      <c r="A88">
        <v>1444</v>
      </c>
      <c r="B88" s="2">
        <v>813.16</v>
      </c>
      <c r="C88">
        <v>0.2</v>
      </c>
      <c r="D88">
        <v>20</v>
      </c>
      <c r="E88" s="3">
        <f t="shared" si="3"/>
        <v>4</v>
      </c>
      <c r="F88" s="1">
        <v>-0.20411639999999998</v>
      </c>
      <c r="G88" s="3">
        <v>51.029099999999993</v>
      </c>
      <c r="H88">
        <f t="shared" si="4"/>
        <v>-2.0023818840000001</v>
      </c>
      <c r="I88" s="1"/>
    </row>
    <row r="89" spans="1:9" x14ac:dyDescent="0.25">
      <c r="A89">
        <v>1448</v>
      </c>
      <c r="B89" s="2">
        <v>751.76</v>
      </c>
      <c r="C89">
        <v>0.1</v>
      </c>
      <c r="D89">
        <v>20</v>
      </c>
      <c r="E89" s="3">
        <f t="shared" si="3"/>
        <v>2</v>
      </c>
      <c r="F89" s="1">
        <v>-0.17236496000000001</v>
      </c>
      <c r="G89" s="3">
        <v>86.182479999999998</v>
      </c>
      <c r="H89">
        <f t="shared" si="4"/>
        <v>-1.6909002576000003</v>
      </c>
      <c r="I89" s="1"/>
    </row>
    <row r="90" spans="1:9" x14ac:dyDescent="0.25">
      <c r="A90">
        <v>1452</v>
      </c>
      <c r="B90" s="2">
        <v>688.27</v>
      </c>
      <c r="C90">
        <v>0.1</v>
      </c>
      <c r="D90">
        <v>20</v>
      </c>
      <c r="E90" s="3">
        <f t="shared" si="3"/>
        <v>2</v>
      </c>
      <c r="F90" s="1">
        <v>-0.14514943999999996</v>
      </c>
      <c r="G90" s="3">
        <v>72.574719999999985</v>
      </c>
      <c r="H90">
        <f t="shared" si="4"/>
        <v>-1.4239160063999996</v>
      </c>
      <c r="I90" s="1"/>
    </row>
    <row r="91" spans="1:9" x14ac:dyDescent="0.25">
      <c r="A91">
        <v>1456</v>
      </c>
      <c r="B91" s="2">
        <v>623.83000000000004</v>
      </c>
      <c r="C91">
        <v>0.1</v>
      </c>
      <c r="D91">
        <v>20</v>
      </c>
      <c r="E91" s="3">
        <f t="shared" si="3"/>
        <v>2</v>
      </c>
      <c r="F91" s="1">
        <v>-0.12246984000000001</v>
      </c>
      <c r="G91" s="3">
        <v>61.234920000000002</v>
      </c>
      <c r="H91">
        <f t="shared" si="4"/>
        <v>-1.2014291304000002</v>
      </c>
      <c r="I91" s="1"/>
    </row>
    <row r="92" spans="1:9" x14ac:dyDescent="0.25">
      <c r="A92">
        <v>1460</v>
      </c>
      <c r="B92" s="2">
        <v>547.37</v>
      </c>
      <c r="C92">
        <v>0.05</v>
      </c>
      <c r="D92">
        <v>20</v>
      </c>
      <c r="E92" s="3">
        <f t="shared" si="3"/>
        <v>1</v>
      </c>
      <c r="F92" s="1">
        <v>-9.0718400000000005E-2</v>
      </c>
      <c r="G92" s="3">
        <v>90.718400000000003</v>
      </c>
      <c r="H92">
        <f t="shared" si="4"/>
        <v>-0.88994750400000011</v>
      </c>
      <c r="I92" s="1"/>
    </row>
    <row r="93" spans="1:9" x14ac:dyDescent="0.25">
      <c r="A93">
        <v>1464</v>
      </c>
      <c r="B93" s="2">
        <v>471.42</v>
      </c>
      <c r="C93">
        <v>0.05</v>
      </c>
      <c r="D93">
        <v>20</v>
      </c>
      <c r="E93" s="3">
        <f t="shared" si="3"/>
        <v>1</v>
      </c>
      <c r="F93" s="1">
        <v>-7.2574719999999995E-2</v>
      </c>
      <c r="G93" s="3">
        <v>72.574719999999999</v>
      </c>
      <c r="H93">
        <f t="shared" si="4"/>
        <v>-0.71195800320000002</v>
      </c>
      <c r="I93" s="1"/>
    </row>
    <row r="94" spans="1:9" x14ac:dyDescent="0.25">
      <c r="A94">
        <v>1468</v>
      </c>
      <c r="B94" s="2">
        <v>389.31</v>
      </c>
      <c r="C94">
        <v>0.05</v>
      </c>
      <c r="D94">
        <v>20</v>
      </c>
      <c r="E94" s="3">
        <f t="shared" si="3"/>
        <v>1</v>
      </c>
      <c r="F94" s="1">
        <v>-5.443104E-2</v>
      </c>
      <c r="G94" s="3">
        <v>54.431039999999996</v>
      </c>
      <c r="H94">
        <f t="shared" si="4"/>
        <v>-0.53396850240000004</v>
      </c>
      <c r="I94" s="1"/>
    </row>
    <row r="95" spans="1:9" x14ac:dyDescent="0.25">
      <c r="A95">
        <v>1472</v>
      </c>
      <c r="B95" s="2">
        <v>309.70999999999998</v>
      </c>
      <c r="C95">
        <v>0.05</v>
      </c>
      <c r="D95">
        <v>20</v>
      </c>
      <c r="E95" s="3">
        <f t="shared" si="3"/>
        <v>1</v>
      </c>
      <c r="F95" s="1">
        <v>-3.6287359999999998E-2</v>
      </c>
      <c r="G95" s="3">
        <v>36.28736</v>
      </c>
      <c r="H95">
        <f t="shared" si="4"/>
        <v>-0.35597900160000001</v>
      </c>
      <c r="I95" s="1"/>
    </row>
    <row r="96" spans="1:9" x14ac:dyDescent="0.25">
      <c r="A96">
        <v>1476</v>
      </c>
      <c r="B96" s="2">
        <v>0</v>
      </c>
      <c r="C96">
        <v>0</v>
      </c>
      <c r="D96">
        <v>20</v>
      </c>
      <c r="E96" s="3">
        <f t="shared" si="3"/>
        <v>0</v>
      </c>
      <c r="F96" s="1">
        <v>0</v>
      </c>
      <c r="G96" s="3">
        <v>0</v>
      </c>
      <c r="H96">
        <f t="shared" si="4"/>
        <v>0</v>
      </c>
      <c r="I96" s="1"/>
    </row>
    <row r="97" spans="1:9" x14ac:dyDescent="0.25">
      <c r="A97">
        <v>1480</v>
      </c>
      <c r="B97" s="2">
        <v>0</v>
      </c>
      <c r="C97">
        <v>0</v>
      </c>
      <c r="D97">
        <v>20</v>
      </c>
      <c r="E97" s="3">
        <f t="shared" si="3"/>
        <v>0</v>
      </c>
      <c r="F97" s="1">
        <v>0</v>
      </c>
      <c r="G97" s="3">
        <v>0</v>
      </c>
      <c r="H97">
        <f t="shared" si="4"/>
        <v>0</v>
      </c>
      <c r="I97" s="1"/>
    </row>
    <row r="98" spans="1:9" x14ac:dyDescent="0.25">
      <c r="A98">
        <v>1484</v>
      </c>
      <c r="B98" s="2">
        <v>0</v>
      </c>
      <c r="C98">
        <v>0</v>
      </c>
      <c r="D98">
        <v>20</v>
      </c>
      <c r="E98" s="3">
        <f t="shared" si="3"/>
        <v>0</v>
      </c>
      <c r="F98" s="1">
        <v>0</v>
      </c>
      <c r="G98" s="3">
        <v>0</v>
      </c>
      <c r="H98">
        <f t="shared" si="4"/>
        <v>0</v>
      </c>
      <c r="I98" s="1"/>
    </row>
    <row r="99" spans="1:9" x14ac:dyDescent="0.25">
      <c r="A99">
        <v>1488</v>
      </c>
      <c r="B99" s="2">
        <v>0</v>
      </c>
      <c r="C99">
        <v>0</v>
      </c>
      <c r="D99">
        <v>20</v>
      </c>
      <c r="E99" s="3">
        <f t="shared" ref="E99:E102" si="5">D99*C99</f>
        <v>0</v>
      </c>
      <c r="F99" s="1">
        <v>0</v>
      </c>
      <c r="G99" s="3">
        <v>0</v>
      </c>
      <c r="H99">
        <f t="shared" si="4"/>
        <v>0</v>
      </c>
      <c r="I99" s="1"/>
    </row>
    <row r="100" spans="1:9" x14ac:dyDescent="0.25">
      <c r="A100">
        <v>1492</v>
      </c>
      <c r="B100" s="2">
        <v>0</v>
      </c>
      <c r="C100">
        <v>0</v>
      </c>
      <c r="D100">
        <v>20</v>
      </c>
      <c r="E100" s="3">
        <f t="shared" si="5"/>
        <v>0</v>
      </c>
      <c r="F100" s="1">
        <v>0</v>
      </c>
      <c r="G100" s="3">
        <v>0</v>
      </c>
      <c r="H100">
        <f t="shared" si="4"/>
        <v>0</v>
      </c>
      <c r="I100" s="1"/>
    </row>
    <row r="101" spans="1:9" x14ac:dyDescent="0.25">
      <c r="A101">
        <v>1496</v>
      </c>
      <c r="B101" s="2">
        <v>0</v>
      </c>
      <c r="C101">
        <v>0</v>
      </c>
      <c r="D101">
        <v>20</v>
      </c>
      <c r="E101" s="3">
        <f t="shared" si="5"/>
        <v>0</v>
      </c>
      <c r="F101" s="1">
        <v>0</v>
      </c>
      <c r="G101" s="3">
        <v>0</v>
      </c>
      <c r="H101">
        <f t="shared" si="4"/>
        <v>0</v>
      </c>
      <c r="I101" s="1"/>
    </row>
    <row r="102" spans="1:9" x14ac:dyDescent="0.25">
      <c r="A102">
        <v>1500</v>
      </c>
      <c r="B102" s="2">
        <v>0</v>
      </c>
      <c r="C102">
        <v>0</v>
      </c>
      <c r="D102">
        <v>20</v>
      </c>
      <c r="E102" s="3">
        <f t="shared" si="5"/>
        <v>0</v>
      </c>
      <c r="F102" s="1">
        <v>0</v>
      </c>
      <c r="G102" s="3">
        <v>0</v>
      </c>
      <c r="H102">
        <f t="shared" si="4"/>
        <v>0</v>
      </c>
      <c r="I102" s="1"/>
    </row>
    <row r="103" spans="1:9" x14ac:dyDescent="0.25">
      <c r="A103">
        <v>1504</v>
      </c>
      <c r="B103" s="2">
        <v>0</v>
      </c>
      <c r="C103">
        <v>0</v>
      </c>
      <c r="D103">
        <v>20</v>
      </c>
      <c r="E103" s="3">
        <f t="shared" ref="E103:E166" si="6">D103*C103</f>
        <v>0</v>
      </c>
      <c r="F103" s="1">
        <v>0</v>
      </c>
      <c r="G103" s="3">
        <v>0</v>
      </c>
      <c r="H103">
        <f t="shared" si="4"/>
        <v>0</v>
      </c>
      <c r="I103" s="1"/>
    </row>
    <row r="104" spans="1:9" x14ac:dyDescent="0.25">
      <c r="A104">
        <v>1508</v>
      </c>
      <c r="B104" s="2">
        <v>0</v>
      </c>
      <c r="C104">
        <v>0</v>
      </c>
      <c r="D104">
        <v>20</v>
      </c>
      <c r="E104" s="3">
        <f t="shared" si="6"/>
        <v>0</v>
      </c>
      <c r="F104" s="1">
        <v>0</v>
      </c>
      <c r="G104" s="3">
        <v>0</v>
      </c>
      <c r="H104">
        <f t="shared" si="4"/>
        <v>0</v>
      </c>
      <c r="I104" s="1"/>
    </row>
    <row r="105" spans="1:9" x14ac:dyDescent="0.25">
      <c r="A105">
        <v>1512</v>
      </c>
      <c r="B105" s="2">
        <v>0</v>
      </c>
      <c r="C105">
        <v>0</v>
      </c>
      <c r="D105">
        <v>20</v>
      </c>
      <c r="E105" s="3">
        <f t="shared" si="6"/>
        <v>0</v>
      </c>
      <c r="F105" s="1">
        <v>0</v>
      </c>
      <c r="G105" s="3">
        <v>0</v>
      </c>
      <c r="H105">
        <f t="shared" si="4"/>
        <v>0</v>
      </c>
      <c r="I105" s="1"/>
    </row>
    <row r="106" spans="1:9" x14ac:dyDescent="0.25">
      <c r="A106">
        <v>1516</v>
      </c>
      <c r="B106" s="2">
        <v>0</v>
      </c>
      <c r="C106">
        <v>0</v>
      </c>
      <c r="D106">
        <v>20</v>
      </c>
      <c r="E106" s="3">
        <f t="shared" si="6"/>
        <v>0</v>
      </c>
      <c r="F106" s="1">
        <v>0</v>
      </c>
      <c r="G106" s="3">
        <v>0</v>
      </c>
      <c r="H106">
        <f t="shared" si="4"/>
        <v>0</v>
      </c>
      <c r="I106" s="1"/>
    </row>
    <row r="107" spans="1:9" x14ac:dyDescent="0.25">
      <c r="A107">
        <v>1520</v>
      </c>
      <c r="B107" s="2">
        <v>0</v>
      </c>
      <c r="C107">
        <v>0</v>
      </c>
      <c r="D107">
        <v>20</v>
      </c>
      <c r="E107" s="3">
        <f t="shared" si="6"/>
        <v>0</v>
      </c>
      <c r="F107" s="1">
        <v>0</v>
      </c>
      <c r="G107" s="3">
        <v>0</v>
      </c>
      <c r="H107">
        <f t="shared" si="4"/>
        <v>0</v>
      </c>
      <c r="I107" s="1"/>
    </row>
    <row r="108" spans="1:9" x14ac:dyDescent="0.25">
      <c r="A108">
        <v>1524</v>
      </c>
      <c r="B108" s="2">
        <v>0</v>
      </c>
      <c r="C108">
        <v>0</v>
      </c>
      <c r="D108">
        <v>20</v>
      </c>
      <c r="E108" s="3">
        <f t="shared" si="6"/>
        <v>0</v>
      </c>
      <c r="F108" s="1">
        <v>0</v>
      </c>
      <c r="G108" s="3">
        <v>0</v>
      </c>
      <c r="H108">
        <f t="shared" si="4"/>
        <v>0</v>
      </c>
      <c r="I108" s="1"/>
    </row>
    <row r="109" spans="1:9" x14ac:dyDescent="0.25">
      <c r="A109">
        <v>1528</v>
      </c>
      <c r="B109" s="2">
        <v>0</v>
      </c>
      <c r="C109">
        <v>0</v>
      </c>
      <c r="D109">
        <v>20</v>
      </c>
      <c r="E109" s="3">
        <f t="shared" si="6"/>
        <v>0</v>
      </c>
      <c r="F109" s="1">
        <v>0</v>
      </c>
      <c r="G109" s="3">
        <v>0</v>
      </c>
      <c r="H109">
        <f t="shared" si="4"/>
        <v>0</v>
      </c>
      <c r="I109" s="1"/>
    </row>
    <row r="110" spans="1:9" x14ac:dyDescent="0.25">
      <c r="A110">
        <v>1532</v>
      </c>
      <c r="B110" s="2">
        <v>379.24</v>
      </c>
      <c r="C110">
        <v>0.05</v>
      </c>
      <c r="D110">
        <v>20</v>
      </c>
      <c r="E110" s="3">
        <f t="shared" si="6"/>
        <v>1</v>
      </c>
      <c r="F110" s="1">
        <v>5.8966959999999999E-2</v>
      </c>
      <c r="G110" s="3">
        <v>58.96696</v>
      </c>
      <c r="H110">
        <f t="shared" si="4"/>
        <v>0.57846587760000001</v>
      </c>
      <c r="I110" s="1"/>
    </row>
    <row r="111" spans="1:9" x14ac:dyDescent="0.25">
      <c r="A111">
        <v>1536</v>
      </c>
      <c r="B111" s="2">
        <v>457.08</v>
      </c>
      <c r="C111">
        <v>0.05</v>
      </c>
      <c r="D111">
        <v>20</v>
      </c>
      <c r="E111" s="3">
        <f t="shared" si="6"/>
        <v>1</v>
      </c>
      <c r="F111" s="1">
        <v>8.6182480000000006E-2</v>
      </c>
      <c r="G111" s="3">
        <v>86.182479999999998</v>
      </c>
      <c r="H111">
        <f t="shared" si="4"/>
        <v>0.84545012880000014</v>
      </c>
      <c r="I111" s="1"/>
    </row>
    <row r="112" spans="1:9" x14ac:dyDescent="0.25">
      <c r="A112">
        <v>1540</v>
      </c>
      <c r="B112" s="2">
        <v>531.72</v>
      </c>
      <c r="C112">
        <v>0.05</v>
      </c>
      <c r="D112">
        <v>20</v>
      </c>
      <c r="E112" s="3">
        <f t="shared" si="6"/>
        <v>1</v>
      </c>
      <c r="F112" s="1">
        <v>0.11339799999999998</v>
      </c>
      <c r="G112" s="3">
        <v>113.39799999999998</v>
      </c>
      <c r="H112">
        <f t="shared" si="4"/>
        <v>1.1124343799999998</v>
      </c>
      <c r="I112" s="1"/>
    </row>
    <row r="113" spans="1:9" x14ac:dyDescent="0.25">
      <c r="A113">
        <v>1544</v>
      </c>
      <c r="B113" s="2">
        <v>605.26</v>
      </c>
      <c r="C113">
        <v>0.1</v>
      </c>
      <c r="D113">
        <v>20</v>
      </c>
      <c r="E113" s="3">
        <f t="shared" si="6"/>
        <v>2</v>
      </c>
      <c r="F113" s="1">
        <v>0.14968536000000002</v>
      </c>
      <c r="G113" s="3">
        <v>74.842680000000001</v>
      </c>
      <c r="H113">
        <f t="shared" si="4"/>
        <v>1.4684133816000002</v>
      </c>
      <c r="I113" s="1"/>
    </row>
    <row r="114" spans="1:9" x14ac:dyDescent="0.25">
      <c r="A114">
        <v>1548</v>
      </c>
      <c r="B114" s="2">
        <v>676.13</v>
      </c>
      <c r="C114">
        <v>0.1</v>
      </c>
      <c r="D114">
        <v>20</v>
      </c>
      <c r="E114" s="3">
        <f t="shared" si="6"/>
        <v>2</v>
      </c>
      <c r="F114" s="1">
        <v>0.18143680000000001</v>
      </c>
      <c r="G114" s="3">
        <v>90.718400000000003</v>
      </c>
      <c r="H114">
        <f t="shared" si="4"/>
        <v>1.7798950080000002</v>
      </c>
      <c r="I114" s="1"/>
    </row>
    <row r="115" spans="1:9" x14ac:dyDescent="0.25">
      <c r="A115">
        <v>1552</v>
      </c>
      <c r="B115" s="2">
        <v>735.49</v>
      </c>
      <c r="C115">
        <v>0.1</v>
      </c>
      <c r="D115">
        <v>20</v>
      </c>
      <c r="E115" s="3">
        <f t="shared" si="6"/>
        <v>2</v>
      </c>
      <c r="F115" s="1">
        <v>0.21318824</v>
      </c>
      <c r="G115" s="3">
        <v>106.59412</v>
      </c>
      <c r="H115">
        <f t="shared" si="4"/>
        <v>2.0913766344</v>
      </c>
      <c r="I115" s="1"/>
    </row>
    <row r="116" spans="1:9" x14ac:dyDescent="0.25">
      <c r="A116">
        <v>1556</v>
      </c>
      <c r="B116" s="2">
        <v>796.87</v>
      </c>
      <c r="C116">
        <v>0.2</v>
      </c>
      <c r="D116">
        <v>20</v>
      </c>
      <c r="E116" s="3">
        <f t="shared" si="6"/>
        <v>4</v>
      </c>
      <c r="F116" s="1">
        <v>0.24947559999999996</v>
      </c>
      <c r="G116" s="3">
        <v>62.368899999999989</v>
      </c>
      <c r="H116">
        <f t="shared" si="4"/>
        <v>2.4473556359999997</v>
      </c>
      <c r="I116" s="1"/>
    </row>
    <row r="117" spans="1:9" x14ac:dyDescent="0.25">
      <c r="A117">
        <v>1560</v>
      </c>
      <c r="B117" s="2">
        <v>857.41</v>
      </c>
      <c r="C117">
        <v>0.2</v>
      </c>
      <c r="D117">
        <v>20</v>
      </c>
      <c r="E117" s="3">
        <f t="shared" si="6"/>
        <v>4</v>
      </c>
      <c r="F117" s="1">
        <v>0.28576296000000001</v>
      </c>
      <c r="G117" s="3">
        <v>71.440739999999991</v>
      </c>
      <c r="H117">
        <f t="shared" si="4"/>
        <v>2.8033346376000003</v>
      </c>
      <c r="I117" s="1"/>
    </row>
    <row r="118" spans="1:9" x14ac:dyDescent="0.25">
      <c r="A118">
        <v>1564</v>
      </c>
      <c r="B118" s="2">
        <v>904.62</v>
      </c>
      <c r="C118">
        <v>0.2</v>
      </c>
      <c r="D118">
        <v>20</v>
      </c>
      <c r="E118" s="3">
        <f t="shared" si="6"/>
        <v>4</v>
      </c>
      <c r="F118" s="1">
        <v>0.32205032</v>
      </c>
      <c r="G118" s="3">
        <v>80.51258</v>
      </c>
      <c r="H118">
        <f t="shared" si="4"/>
        <v>3.1593136392000001</v>
      </c>
      <c r="I118" s="1"/>
    </row>
    <row r="119" spans="1:9" x14ac:dyDescent="0.25">
      <c r="A119">
        <v>1568</v>
      </c>
      <c r="B119" s="2">
        <v>962.88</v>
      </c>
      <c r="C119">
        <v>0.3</v>
      </c>
      <c r="D119">
        <v>20</v>
      </c>
      <c r="E119" s="3">
        <f t="shared" si="6"/>
        <v>6</v>
      </c>
      <c r="F119" s="1">
        <v>0.36287359999999996</v>
      </c>
      <c r="G119" s="3">
        <v>60.478933333333323</v>
      </c>
      <c r="H119">
        <f t="shared" si="4"/>
        <v>3.559790016</v>
      </c>
      <c r="I119" s="1"/>
    </row>
    <row r="120" spans="1:9" x14ac:dyDescent="0.25">
      <c r="A120">
        <v>1572</v>
      </c>
      <c r="B120" s="2">
        <v>1000.77</v>
      </c>
      <c r="C120">
        <v>0.4</v>
      </c>
      <c r="D120">
        <v>20</v>
      </c>
      <c r="E120" s="3">
        <f t="shared" si="6"/>
        <v>8</v>
      </c>
      <c r="F120" s="1">
        <v>0.39008912000000001</v>
      </c>
      <c r="G120" s="3">
        <v>48.761139999999997</v>
      </c>
      <c r="H120">
        <f t="shared" si="4"/>
        <v>3.8267742672000002</v>
      </c>
      <c r="I120" s="1"/>
    </row>
    <row r="121" spans="1:9" x14ac:dyDescent="0.25">
      <c r="A121">
        <v>1576</v>
      </c>
      <c r="B121" s="2">
        <v>1045.53</v>
      </c>
      <c r="C121">
        <v>0.4</v>
      </c>
      <c r="D121">
        <v>20</v>
      </c>
      <c r="E121" s="3">
        <f t="shared" si="6"/>
        <v>8</v>
      </c>
      <c r="F121" s="1">
        <v>0.42637647999999995</v>
      </c>
      <c r="G121" s="3">
        <v>53.297059999999995</v>
      </c>
      <c r="H121">
        <f t="shared" si="4"/>
        <v>4.1827532688</v>
      </c>
      <c r="I121" s="1"/>
    </row>
    <row r="122" spans="1:9" x14ac:dyDescent="0.25">
      <c r="A122">
        <v>1580</v>
      </c>
      <c r="B122" s="2">
        <v>1091.6400000000001</v>
      </c>
      <c r="C122">
        <v>0.5</v>
      </c>
      <c r="D122">
        <v>20</v>
      </c>
      <c r="E122" s="3">
        <f t="shared" si="6"/>
        <v>10</v>
      </c>
      <c r="F122" s="1">
        <v>0.46719976000000002</v>
      </c>
      <c r="G122" s="3">
        <v>46.719975999999996</v>
      </c>
      <c r="H122">
        <f t="shared" si="4"/>
        <v>4.5832296456000003</v>
      </c>
      <c r="I122" s="1"/>
    </row>
    <row r="123" spans="1:9" x14ac:dyDescent="0.25">
      <c r="A123">
        <v>1584</v>
      </c>
      <c r="B123" s="2">
        <v>1128.73</v>
      </c>
      <c r="C123">
        <v>0.5</v>
      </c>
      <c r="D123">
        <v>20</v>
      </c>
      <c r="E123" s="3">
        <f t="shared" si="6"/>
        <v>10</v>
      </c>
      <c r="F123" s="1">
        <v>0.49895119999999993</v>
      </c>
      <c r="G123" s="3">
        <v>49.895119999999991</v>
      </c>
      <c r="H123">
        <f t="shared" si="4"/>
        <v>4.8947112719999994</v>
      </c>
      <c r="I123" s="1"/>
    </row>
    <row r="124" spans="1:9" x14ac:dyDescent="0.25">
      <c r="A124">
        <v>1588</v>
      </c>
      <c r="B124" s="2">
        <v>1162.45</v>
      </c>
      <c r="C124">
        <v>0.6</v>
      </c>
      <c r="D124">
        <v>20</v>
      </c>
      <c r="E124" s="3">
        <f t="shared" si="6"/>
        <v>12</v>
      </c>
      <c r="F124" s="1">
        <v>0.53523855999999992</v>
      </c>
      <c r="G124" s="3">
        <v>44.603213333333336</v>
      </c>
      <c r="H124">
        <f t="shared" si="4"/>
        <v>5.2506902735999992</v>
      </c>
      <c r="I124" s="1"/>
    </row>
    <row r="125" spans="1:9" x14ac:dyDescent="0.25">
      <c r="A125">
        <v>1592</v>
      </c>
      <c r="B125" s="2">
        <v>1206.9000000000001</v>
      </c>
      <c r="C125">
        <v>0.7</v>
      </c>
      <c r="D125">
        <v>20</v>
      </c>
      <c r="E125" s="3">
        <f t="shared" si="6"/>
        <v>14</v>
      </c>
      <c r="F125" s="1">
        <v>0.57152592000000002</v>
      </c>
      <c r="G125" s="3">
        <v>40.823279999999997</v>
      </c>
      <c r="H125">
        <f t="shared" si="4"/>
        <v>5.6066692752000007</v>
      </c>
      <c r="I125" s="1"/>
    </row>
    <row r="126" spans="1:9" x14ac:dyDescent="0.25">
      <c r="A126">
        <v>1596</v>
      </c>
      <c r="B126" s="2">
        <v>1240.1199999999999</v>
      </c>
      <c r="C126">
        <v>0.7</v>
      </c>
      <c r="D126">
        <v>20</v>
      </c>
      <c r="E126" s="3">
        <f t="shared" si="6"/>
        <v>14</v>
      </c>
      <c r="F126" s="1">
        <v>0.6078132799999999</v>
      </c>
      <c r="G126" s="3">
        <v>43.415234285714284</v>
      </c>
      <c r="H126">
        <f t="shared" si="4"/>
        <v>5.9626482767999995</v>
      </c>
      <c r="I126" s="1"/>
    </row>
    <row r="127" spans="1:9" x14ac:dyDescent="0.25">
      <c r="A127">
        <v>1600</v>
      </c>
      <c r="B127" s="2">
        <v>1272.94</v>
      </c>
      <c r="C127">
        <v>0.8</v>
      </c>
      <c r="D127">
        <v>20</v>
      </c>
      <c r="E127" s="3">
        <f t="shared" si="6"/>
        <v>16</v>
      </c>
      <c r="F127" s="1">
        <v>0.63956471999999998</v>
      </c>
      <c r="G127" s="3">
        <v>39.972794999999998</v>
      </c>
      <c r="H127">
        <f t="shared" si="4"/>
        <v>6.2741299032000004</v>
      </c>
      <c r="I127" s="1"/>
    </row>
    <row r="128" spans="1:9" x14ac:dyDescent="0.25">
      <c r="A128">
        <v>1604</v>
      </c>
      <c r="B128" s="2">
        <v>1304.81</v>
      </c>
      <c r="C128">
        <v>0.8</v>
      </c>
      <c r="D128">
        <v>20</v>
      </c>
      <c r="E128" s="3">
        <f t="shared" si="6"/>
        <v>16</v>
      </c>
      <c r="F128" s="1">
        <v>0.66224432</v>
      </c>
      <c r="G128" s="3">
        <v>41.390270000000001</v>
      </c>
      <c r="H128">
        <f t="shared" si="4"/>
        <v>6.4966167792</v>
      </c>
      <c r="I128" s="1"/>
    </row>
    <row r="129" spans="1:9" x14ac:dyDescent="0.25">
      <c r="A129">
        <v>1608</v>
      </c>
      <c r="B129" s="2">
        <v>1333.98</v>
      </c>
      <c r="C129">
        <v>0.96</v>
      </c>
      <c r="D129">
        <v>20</v>
      </c>
      <c r="E129" s="3">
        <f t="shared" si="6"/>
        <v>19.2</v>
      </c>
      <c r="F129" s="1">
        <v>0.69853167999999999</v>
      </c>
      <c r="G129" s="3">
        <v>36.381858333333334</v>
      </c>
      <c r="H129">
        <f t="shared" si="4"/>
        <v>6.8525957808000006</v>
      </c>
      <c r="I129" s="1"/>
    </row>
    <row r="130" spans="1:9" x14ac:dyDescent="0.25">
      <c r="A130">
        <v>1612</v>
      </c>
      <c r="B130" s="2">
        <v>1366.51</v>
      </c>
      <c r="C130">
        <v>1</v>
      </c>
      <c r="D130">
        <v>20</v>
      </c>
      <c r="E130" s="3">
        <f t="shared" si="6"/>
        <v>20</v>
      </c>
      <c r="F130" s="1">
        <v>0.73935495999999989</v>
      </c>
      <c r="G130" s="3">
        <v>36.967747999999993</v>
      </c>
      <c r="H130">
        <f t="shared" si="4"/>
        <v>7.2530721575999992</v>
      </c>
      <c r="I130" s="1"/>
    </row>
    <row r="131" spans="1:9" x14ac:dyDescent="0.25">
      <c r="A131">
        <v>1616</v>
      </c>
      <c r="B131" s="2">
        <v>1407.4</v>
      </c>
      <c r="C131">
        <v>1.1000000000000001</v>
      </c>
      <c r="D131">
        <v>20</v>
      </c>
      <c r="E131" s="3">
        <f t="shared" si="6"/>
        <v>22</v>
      </c>
      <c r="F131" s="1">
        <v>0.78017824000000002</v>
      </c>
      <c r="G131" s="3">
        <v>35.462647272727274</v>
      </c>
      <c r="H131">
        <f t="shared" ref="H131:H194" si="7">F131*9.81</f>
        <v>7.6535485344000005</v>
      </c>
      <c r="I131" s="1"/>
    </row>
    <row r="132" spans="1:9" x14ac:dyDescent="0.25">
      <c r="A132">
        <v>1620</v>
      </c>
      <c r="B132" s="2">
        <v>1441.12</v>
      </c>
      <c r="C132">
        <v>1.2</v>
      </c>
      <c r="D132">
        <v>20</v>
      </c>
      <c r="E132" s="3">
        <f t="shared" si="6"/>
        <v>24</v>
      </c>
      <c r="F132" s="1">
        <v>0.81646560000000001</v>
      </c>
      <c r="G132" s="3">
        <v>34.019399999999997</v>
      </c>
      <c r="H132">
        <f t="shared" si="7"/>
        <v>8.0095275360000002</v>
      </c>
      <c r="I132" s="1"/>
    </row>
    <row r="133" spans="1:9" x14ac:dyDescent="0.25">
      <c r="A133">
        <v>1624</v>
      </c>
      <c r="B133" s="2">
        <v>1472.19</v>
      </c>
      <c r="C133">
        <v>1.3</v>
      </c>
      <c r="D133">
        <v>20</v>
      </c>
      <c r="E133" s="3">
        <f t="shared" si="6"/>
        <v>26</v>
      </c>
      <c r="F133" s="1">
        <v>0.86182479999999995</v>
      </c>
      <c r="G133" s="3">
        <v>33.147107692307692</v>
      </c>
      <c r="H133">
        <f t="shared" si="7"/>
        <v>8.4545012879999994</v>
      </c>
      <c r="I133" s="1"/>
    </row>
    <row r="134" spans="1:9" x14ac:dyDescent="0.25">
      <c r="A134">
        <v>1628</v>
      </c>
      <c r="B134" s="2">
        <v>1505.68</v>
      </c>
      <c r="C134">
        <v>1.4</v>
      </c>
      <c r="D134">
        <v>20</v>
      </c>
      <c r="E134" s="3">
        <f t="shared" si="6"/>
        <v>28</v>
      </c>
      <c r="F134" s="1">
        <v>0.88904032</v>
      </c>
      <c r="G134" s="3">
        <v>31.751439999999999</v>
      </c>
      <c r="H134">
        <f t="shared" si="7"/>
        <v>8.7214855391999997</v>
      </c>
      <c r="I134" s="1"/>
    </row>
    <row r="135" spans="1:9" x14ac:dyDescent="0.25">
      <c r="A135">
        <v>1632</v>
      </c>
      <c r="B135" s="2">
        <v>1537.45</v>
      </c>
      <c r="C135">
        <v>1.51</v>
      </c>
      <c r="D135">
        <v>20</v>
      </c>
      <c r="E135" s="3">
        <f t="shared" si="6"/>
        <v>30.2</v>
      </c>
      <c r="F135" s="1">
        <v>0.93439952000000004</v>
      </c>
      <c r="G135" s="3">
        <v>30.940381456953642</v>
      </c>
      <c r="H135">
        <f t="shared" si="7"/>
        <v>9.1664592912000007</v>
      </c>
      <c r="I135" s="1"/>
    </row>
    <row r="136" spans="1:9" x14ac:dyDescent="0.25">
      <c r="A136">
        <v>1636</v>
      </c>
      <c r="B136" s="2">
        <v>1571.27</v>
      </c>
      <c r="C136">
        <v>1.6</v>
      </c>
      <c r="D136">
        <v>20</v>
      </c>
      <c r="E136" s="3">
        <f t="shared" si="6"/>
        <v>32</v>
      </c>
      <c r="F136" s="1">
        <v>0.97522279999999995</v>
      </c>
      <c r="G136" s="3">
        <v>30.475712499999997</v>
      </c>
      <c r="H136">
        <f t="shared" si="7"/>
        <v>9.5669356679999993</v>
      </c>
      <c r="I136" s="1"/>
    </row>
    <row r="137" spans="1:9" x14ac:dyDescent="0.25">
      <c r="A137">
        <v>1640</v>
      </c>
      <c r="B137" s="2">
        <v>1603.29</v>
      </c>
      <c r="C137">
        <v>1.79</v>
      </c>
      <c r="D137">
        <v>20</v>
      </c>
      <c r="E137" s="3">
        <f t="shared" si="6"/>
        <v>35.799999999999997</v>
      </c>
      <c r="F137" s="1">
        <v>1.0205820000000001</v>
      </c>
      <c r="G137" s="3">
        <v>28.50787709497207</v>
      </c>
      <c r="H137">
        <f t="shared" si="7"/>
        <v>10.011909420000002</v>
      </c>
      <c r="I137" s="1"/>
    </row>
    <row r="138" spans="1:9" x14ac:dyDescent="0.25">
      <c r="A138">
        <v>1644</v>
      </c>
      <c r="B138" s="2">
        <v>1643.93</v>
      </c>
      <c r="C138">
        <v>1.9</v>
      </c>
      <c r="D138">
        <v>20</v>
      </c>
      <c r="E138" s="3">
        <f t="shared" si="6"/>
        <v>38</v>
      </c>
      <c r="F138" s="1">
        <v>1.06140528</v>
      </c>
      <c r="G138" s="3">
        <v>27.931717894736842</v>
      </c>
      <c r="H138">
        <f t="shared" si="7"/>
        <v>10.412385796800001</v>
      </c>
      <c r="I138" s="1"/>
    </row>
    <row r="139" spans="1:9" x14ac:dyDescent="0.25">
      <c r="A139">
        <v>1648</v>
      </c>
      <c r="B139" s="2">
        <v>1684.99</v>
      </c>
      <c r="C139">
        <v>2.06</v>
      </c>
      <c r="D139">
        <v>20</v>
      </c>
      <c r="E139" s="3">
        <f t="shared" si="6"/>
        <v>41.2</v>
      </c>
      <c r="F139" s="1">
        <v>1.1203722399999998</v>
      </c>
      <c r="G139" s="3">
        <v>27.193500970873782</v>
      </c>
      <c r="H139">
        <f t="shared" si="7"/>
        <v>10.990851674399998</v>
      </c>
      <c r="I139" s="1"/>
    </row>
    <row r="140" spans="1:9" x14ac:dyDescent="0.25">
      <c r="A140">
        <v>1652</v>
      </c>
      <c r="B140" s="2">
        <v>1720.02</v>
      </c>
      <c r="C140">
        <v>2.2000000000000002</v>
      </c>
      <c r="D140">
        <v>20</v>
      </c>
      <c r="E140" s="3">
        <f t="shared" si="6"/>
        <v>44</v>
      </c>
      <c r="F140" s="1">
        <v>1.17026736</v>
      </c>
      <c r="G140" s="3">
        <v>26.596985454545457</v>
      </c>
      <c r="H140">
        <f t="shared" si="7"/>
        <v>11.4803228016</v>
      </c>
      <c r="I140" s="1"/>
    </row>
    <row r="141" spans="1:9" x14ac:dyDescent="0.25">
      <c r="A141">
        <v>1656</v>
      </c>
      <c r="B141" s="2">
        <v>1751.49</v>
      </c>
      <c r="C141">
        <v>2.37</v>
      </c>
      <c r="D141">
        <v>20</v>
      </c>
      <c r="E141" s="3">
        <f t="shared" si="6"/>
        <v>47.400000000000006</v>
      </c>
      <c r="F141" s="1">
        <v>1.2201624799999999</v>
      </c>
      <c r="G141" s="3">
        <v>25.741824472573835</v>
      </c>
      <c r="H141">
        <f t="shared" si="7"/>
        <v>11.9697939288</v>
      </c>
      <c r="I141" s="1"/>
    </row>
    <row r="142" spans="1:9" x14ac:dyDescent="0.25">
      <c r="A142">
        <v>1660</v>
      </c>
      <c r="B142" s="2">
        <v>1797.04</v>
      </c>
      <c r="C142">
        <v>2.63</v>
      </c>
      <c r="D142">
        <v>20</v>
      </c>
      <c r="E142" s="3">
        <f t="shared" si="6"/>
        <v>52.599999999999994</v>
      </c>
      <c r="F142" s="1">
        <v>1.27912944</v>
      </c>
      <c r="G142" s="3">
        <v>24.318050190114072</v>
      </c>
      <c r="H142">
        <f t="shared" si="7"/>
        <v>12.548259806400001</v>
      </c>
      <c r="I142" s="1"/>
    </row>
    <row r="143" spans="1:9" x14ac:dyDescent="0.25">
      <c r="A143">
        <v>1664</v>
      </c>
      <c r="B143" s="2">
        <v>1831.78</v>
      </c>
      <c r="C143">
        <v>2.82</v>
      </c>
      <c r="D143">
        <v>20</v>
      </c>
      <c r="E143" s="3">
        <f t="shared" si="6"/>
        <v>56.4</v>
      </c>
      <c r="F143" s="1">
        <v>1.31088088</v>
      </c>
      <c r="G143" s="3">
        <v>23.242568794326239</v>
      </c>
      <c r="H143">
        <f t="shared" si="7"/>
        <v>12.859741432800002</v>
      </c>
      <c r="I143" s="1"/>
    </row>
    <row r="144" spans="1:9" x14ac:dyDescent="0.25">
      <c r="A144">
        <v>1668</v>
      </c>
      <c r="B144" s="2">
        <v>1867.84</v>
      </c>
      <c r="C144">
        <v>3.06</v>
      </c>
      <c r="D144">
        <v>20</v>
      </c>
      <c r="E144" s="3">
        <f t="shared" si="6"/>
        <v>61.2</v>
      </c>
      <c r="F144" s="1">
        <v>1.3789196800000001</v>
      </c>
      <c r="G144" s="3">
        <v>22.531367320261435</v>
      </c>
      <c r="H144">
        <f t="shared" si="7"/>
        <v>13.527202060800002</v>
      </c>
      <c r="I144" s="1"/>
    </row>
    <row r="145" spans="1:9" x14ac:dyDescent="0.25">
      <c r="A145">
        <v>1672</v>
      </c>
      <c r="B145" s="2">
        <v>1911.39</v>
      </c>
      <c r="C145">
        <v>3.28</v>
      </c>
      <c r="D145">
        <v>20</v>
      </c>
      <c r="E145" s="3">
        <f t="shared" si="6"/>
        <v>65.599999999999994</v>
      </c>
      <c r="F145" s="1">
        <v>1.4378866399999999</v>
      </c>
      <c r="G145" s="3">
        <v>21.919003658536585</v>
      </c>
      <c r="H145">
        <f t="shared" si="7"/>
        <v>14.1056679384</v>
      </c>
      <c r="I145" s="1"/>
    </row>
    <row r="146" spans="1:9" x14ac:dyDescent="0.25">
      <c r="A146">
        <v>1676</v>
      </c>
      <c r="B146" s="2">
        <v>1950.29</v>
      </c>
      <c r="C146">
        <v>3.49</v>
      </c>
      <c r="D146">
        <v>20</v>
      </c>
      <c r="E146" s="3">
        <f t="shared" si="6"/>
        <v>69.800000000000011</v>
      </c>
      <c r="F146" s="1">
        <v>1.52860504</v>
      </c>
      <c r="G146" s="3">
        <v>21.899785673352429</v>
      </c>
      <c r="H146">
        <f t="shared" si="7"/>
        <v>14.9956154424</v>
      </c>
      <c r="I146" s="1"/>
    </row>
    <row r="147" spans="1:9" x14ac:dyDescent="0.25">
      <c r="A147">
        <v>1680</v>
      </c>
      <c r="B147" s="2">
        <v>1990.86</v>
      </c>
      <c r="C147">
        <v>3.72</v>
      </c>
      <c r="D147">
        <v>20</v>
      </c>
      <c r="E147" s="3">
        <f t="shared" si="6"/>
        <v>74.400000000000006</v>
      </c>
      <c r="F147" s="1">
        <v>1.5830360799999998</v>
      </c>
      <c r="G147" s="3">
        <v>21.277366666666662</v>
      </c>
      <c r="H147">
        <f t="shared" si="7"/>
        <v>15.529583944799999</v>
      </c>
      <c r="I147" s="1"/>
    </row>
    <row r="148" spans="1:9" x14ac:dyDescent="0.25">
      <c r="A148">
        <v>1684</v>
      </c>
      <c r="B148" s="2">
        <v>2040.3</v>
      </c>
      <c r="C148">
        <v>3.98</v>
      </c>
      <c r="D148">
        <v>20</v>
      </c>
      <c r="E148" s="3">
        <f t="shared" si="6"/>
        <v>79.599999999999994</v>
      </c>
      <c r="F148" s="1">
        <v>1.6420030400000001</v>
      </c>
      <c r="G148" s="3">
        <v>20.628178894472363</v>
      </c>
      <c r="H148">
        <f t="shared" si="7"/>
        <v>16.108049822400002</v>
      </c>
      <c r="I148" s="1"/>
    </row>
    <row r="149" spans="1:9" x14ac:dyDescent="0.25">
      <c r="A149">
        <v>1688</v>
      </c>
      <c r="B149" s="2">
        <v>2072.3000000000002</v>
      </c>
      <c r="C149">
        <v>4.26</v>
      </c>
      <c r="D149">
        <v>20</v>
      </c>
      <c r="E149" s="3">
        <f t="shared" si="6"/>
        <v>85.199999999999989</v>
      </c>
      <c r="F149" s="1">
        <v>1.7372573600000001</v>
      </c>
      <c r="G149" s="3">
        <v>20.39034460093897</v>
      </c>
      <c r="H149">
        <f t="shared" si="7"/>
        <v>17.042494701600003</v>
      </c>
      <c r="I149" s="1"/>
    </row>
    <row r="150" spans="1:9" x14ac:dyDescent="0.25">
      <c r="A150">
        <v>1692</v>
      </c>
      <c r="B150" s="2">
        <v>2109.87</v>
      </c>
      <c r="C150">
        <v>4.59</v>
      </c>
      <c r="D150">
        <v>20</v>
      </c>
      <c r="E150" s="3">
        <f t="shared" si="6"/>
        <v>91.8</v>
      </c>
      <c r="F150" s="1">
        <v>1.8007602399999998</v>
      </c>
      <c r="G150" s="3">
        <v>19.616124618736382</v>
      </c>
      <c r="H150">
        <f t="shared" si="7"/>
        <v>17.665457954399997</v>
      </c>
      <c r="I150" s="1"/>
    </row>
    <row r="151" spans="1:9" x14ac:dyDescent="0.25">
      <c r="A151">
        <v>1696</v>
      </c>
      <c r="B151" s="2">
        <v>2144.7600000000002</v>
      </c>
      <c r="C151">
        <v>4.83</v>
      </c>
      <c r="D151">
        <v>20</v>
      </c>
      <c r="E151" s="3">
        <f t="shared" si="6"/>
        <v>96.6</v>
      </c>
      <c r="F151" s="1">
        <v>1.8461194400000001</v>
      </c>
      <c r="G151" s="3">
        <v>19.110967287784682</v>
      </c>
      <c r="H151">
        <f t="shared" si="7"/>
        <v>18.1104317064</v>
      </c>
      <c r="I151" s="1"/>
    </row>
    <row r="152" spans="1:9" x14ac:dyDescent="0.25">
      <c r="A152">
        <v>1700</v>
      </c>
      <c r="B152" s="2">
        <v>2186.46</v>
      </c>
      <c r="C152">
        <v>5.08</v>
      </c>
      <c r="D152">
        <v>20</v>
      </c>
      <c r="E152" s="3">
        <f t="shared" si="6"/>
        <v>101.6</v>
      </c>
      <c r="F152" s="1">
        <v>1.9186941599999998</v>
      </c>
      <c r="G152" s="3">
        <v>18.884785039370076</v>
      </c>
      <c r="H152">
        <f t="shared" si="7"/>
        <v>18.822389709599999</v>
      </c>
      <c r="I152" s="1"/>
    </row>
    <row r="153" spans="1:9" x14ac:dyDescent="0.25">
      <c r="A153">
        <v>1704</v>
      </c>
      <c r="B153" s="2">
        <v>2217.6799999999998</v>
      </c>
      <c r="C153">
        <v>5.39</v>
      </c>
      <c r="D153">
        <v>20</v>
      </c>
      <c r="E153" s="3">
        <f t="shared" si="6"/>
        <v>107.8</v>
      </c>
      <c r="F153" s="1">
        <v>1.98219704</v>
      </c>
      <c r="G153" s="3">
        <v>18.387727643784789</v>
      </c>
      <c r="H153">
        <f t="shared" si="7"/>
        <v>19.445352962400001</v>
      </c>
      <c r="I153" s="1"/>
    </row>
    <row r="154" spans="1:9" x14ac:dyDescent="0.25">
      <c r="A154">
        <v>1708</v>
      </c>
      <c r="B154" s="2">
        <v>2241.98</v>
      </c>
      <c r="C154">
        <v>5.66</v>
      </c>
      <c r="D154">
        <v>20</v>
      </c>
      <c r="E154" s="3">
        <f t="shared" si="6"/>
        <v>113.2</v>
      </c>
      <c r="F154" s="1">
        <v>2.0683795199999997</v>
      </c>
      <c r="G154" s="3">
        <v>18.271903886925795</v>
      </c>
      <c r="H154">
        <f t="shared" si="7"/>
        <v>20.290803091199997</v>
      </c>
      <c r="I154" s="1"/>
    </row>
    <row r="155" spans="1:9" x14ac:dyDescent="0.25">
      <c r="A155">
        <v>1712</v>
      </c>
      <c r="B155" s="2">
        <v>2292.34</v>
      </c>
      <c r="C155">
        <v>5.9</v>
      </c>
      <c r="D155">
        <v>20</v>
      </c>
      <c r="E155" s="3">
        <f t="shared" si="6"/>
        <v>118</v>
      </c>
      <c r="F155" s="1">
        <v>2.1182746400000001</v>
      </c>
      <c r="G155" s="3">
        <v>17.95148</v>
      </c>
      <c r="H155">
        <f t="shared" si="7"/>
        <v>20.780274218400002</v>
      </c>
      <c r="I155" s="1"/>
    </row>
    <row r="156" spans="1:9" x14ac:dyDescent="0.25">
      <c r="A156">
        <v>1716</v>
      </c>
      <c r="B156" s="2">
        <v>2320.8200000000002</v>
      </c>
      <c r="C156">
        <v>6.2</v>
      </c>
      <c r="D156">
        <v>20</v>
      </c>
      <c r="E156" s="3">
        <f t="shared" si="6"/>
        <v>124</v>
      </c>
      <c r="F156" s="1">
        <v>2.1999211999999999</v>
      </c>
      <c r="G156" s="3">
        <v>17.741299999999999</v>
      </c>
      <c r="H156">
        <f t="shared" si="7"/>
        <v>21.581226972</v>
      </c>
      <c r="I156" s="1"/>
    </row>
    <row r="157" spans="1:9" x14ac:dyDescent="0.25">
      <c r="A157">
        <v>1720</v>
      </c>
      <c r="B157" s="2">
        <v>2370.79</v>
      </c>
      <c r="C157">
        <v>6.5</v>
      </c>
      <c r="D157">
        <v>20</v>
      </c>
      <c r="E157" s="3">
        <f t="shared" si="6"/>
        <v>130</v>
      </c>
      <c r="F157" s="1">
        <v>2.2498163199999999</v>
      </c>
      <c r="G157" s="3">
        <v>17.306279384615383</v>
      </c>
      <c r="H157">
        <f t="shared" si="7"/>
        <v>22.070698099200001</v>
      </c>
      <c r="I157" s="1"/>
    </row>
    <row r="158" spans="1:9" x14ac:dyDescent="0.25">
      <c r="A158">
        <v>1724</v>
      </c>
      <c r="B158" s="2">
        <v>2419.25</v>
      </c>
      <c r="C158">
        <v>6.87</v>
      </c>
      <c r="D158">
        <v>20</v>
      </c>
      <c r="E158" s="3">
        <f t="shared" si="6"/>
        <v>137.4</v>
      </c>
      <c r="F158" s="1">
        <v>2.3269269599999998</v>
      </c>
      <c r="G158" s="3">
        <v>16.935421834061135</v>
      </c>
      <c r="H158">
        <f t="shared" si="7"/>
        <v>22.8271534776</v>
      </c>
      <c r="I158" s="1"/>
    </row>
    <row r="159" spans="1:9" x14ac:dyDescent="0.25">
      <c r="A159">
        <v>1728</v>
      </c>
      <c r="B159" s="2">
        <v>2451.89</v>
      </c>
      <c r="C159">
        <v>7.3</v>
      </c>
      <c r="D159">
        <v>20</v>
      </c>
      <c r="E159" s="3">
        <f t="shared" si="6"/>
        <v>146</v>
      </c>
      <c r="F159" s="1">
        <v>2.43578904</v>
      </c>
      <c r="G159" s="3">
        <v>16.683486575342467</v>
      </c>
      <c r="H159">
        <f t="shared" si="7"/>
        <v>23.895090482400001</v>
      </c>
      <c r="I159" s="1"/>
    </row>
    <row r="160" spans="1:9" x14ac:dyDescent="0.25">
      <c r="A160">
        <v>1732</v>
      </c>
      <c r="B160" s="2">
        <v>2493.31</v>
      </c>
      <c r="C160">
        <v>7.72</v>
      </c>
      <c r="D160">
        <v>20</v>
      </c>
      <c r="E160" s="3">
        <f t="shared" si="6"/>
        <v>154.4</v>
      </c>
      <c r="F160" s="1">
        <v>2.5219715199999997</v>
      </c>
      <c r="G160" s="3">
        <v>16.334012435233156</v>
      </c>
      <c r="H160">
        <f t="shared" si="7"/>
        <v>24.740540611199997</v>
      </c>
      <c r="I160" s="1"/>
    </row>
    <row r="161" spans="1:9" x14ac:dyDescent="0.25">
      <c r="A161">
        <v>1736</v>
      </c>
      <c r="B161" s="2">
        <v>2520.1999999999998</v>
      </c>
      <c r="C161">
        <v>8.14</v>
      </c>
      <c r="D161">
        <v>20</v>
      </c>
      <c r="E161" s="3">
        <f t="shared" si="6"/>
        <v>162.80000000000001</v>
      </c>
      <c r="F161" s="1">
        <v>2.6081539999999999</v>
      </c>
      <c r="G161" s="3">
        <v>16.020601965601966</v>
      </c>
      <c r="H161">
        <f t="shared" si="7"/>
        <v>25.58599074</v>
      </c>
      <c r="I161" s="1"/>
    </row>
    <row r="162" spans="1:9" x14ac:dyDescent="0.25">
      <c r="A162">
        <v>1740</v>
      </c>
      <c r="B162" s="2">
        <v>2551.9899999999998</v>
      </c>
      <c r="C162">
        <v>8.5299999999999994</v>
      </c>
      <c r="D162">
        <v>20</v>
      </c>
      <c r="E162" s="3">
        <f t="shared" si="6"/>
        <v>170.6</v>
      </c>
      <c r="F162" s="1">
        <v>2.6625850400000002</v>
      </c>
      <c r="G162" s="3">
        <v>15.607180773739742</v>
      </c>
      <c r="H162">
        <f t="shared" si="7"/>
        <v>26.119959242400004</v>
      </c>
      <c r="I162" s="1"/>
    </row>
    <row r="163" spans="1:9" x14ac:dyDescent="0.25">
      <c r="A163">
        <v>1744</v>
      </c>
      <c r="B163" s="2">
        <v>2592.8000000000002</v>
      </c>
      <c r="C163">
        <v>8.92</v>
      </c>
      <c r="D163">
        <v>20</v>
      </c>
      <c r="E163" s="3">
        <f t="shared" si="6"/>
        <v>178.4</v>
      </c>
      <c r="F163" s="1">
        <v>2.7623752800000001</v>
      </c>
      <c r="G163" s="3">
        <v>15.484166367713003</v>
      </c>
      <c r="H163">
        <f t="shared" si="7"/>
        <v>27.098901496800003</v>
      </c>
      <c r="I163" s="1"/>
    </row>
    <row r="164" spans="1:9" x14ac:dyDescent="0.25">
      <c r="A164">
        <v>1748</v>
      </c>
      <c r="B164" s="2">
        <v>2621.42</v>
      </c>
      <c r="C164">
        <v>9.2899999999999991</v>
      </c>
      <c r="D164">
        <v>20</v>
      </c>
      <c r="E164" s="3">
        <f t="shared" si="6"/>
        <v>185.79999999999998</v>
      </c>
      <c r="F164" s="1">
        <v>2.8258781599999998</v>
      </c>
      <c r="G164" s="3">
        <v>15.209247362755651</v>
      </c>
      <c r="H164">
        <f t="shared" si="7"/>
        <v>27.721864749599998</v>
      </c>
      <c r="I164" s="1"/>
    </row>
    <row r="165" spans="1:9" x14ac:dyDescent="0.25">
      <c r="A165">
        <v>1752</v>
      </c>
      <c r="B165" s="2">
        <v>2654.38</v>
      </c>
      <c r="C165">
        <v>9.6999999999999993</v>
      </c>
      <c r="D165">
        <v>20</v>
      </c>
      <c r="E165" s="3">
        <f t="shared" si="6"/>
        <v>194</v>
      </c>
      <c r="F165" s="1">
        <v>2.9075247200000001</v>
      </c>
      <c r="G165" s="3">
        <v>14.987240824742267</v>
      </c>
      <c r="H165">
        <f t="shared" si="7"/>
        <v>28.522817503200002</v>
      </c>
      <c r="I165" s="1"/>
    </row>
    <row r="166" spans="1:9" x14ac:dyDescent="0.25">
      <c r="A166">
        <v>1756</v>
      </c>
      <c r="B166" s="2">
        <v>2695.99</v>
      </c>
      <c r="C166">
        <v>10</v>
      </c>
      <c r="D166">
        <v>20</v>
      </c>
      <c r="E166" s="3">
        <f t="shared" si="6"/>
        <v>200</v>
      </c>
      <c r="F166" s="1">
        <v>2.9937071999999998</v>
      </c>
      <c r="G166" s="3">
        <v>14.968535999999999</v>
      </c>
      <c r="H166">
        <f t="shared" si="7"/>
        <v>29.368267631999998</v>
      </c>
      <c r="I166" s="1"/>
    </row>
    <row r="167" spans="1:9" x14ac:dyDescent="0.25">
      <c r="A167">
        <v>1760</v>
      </c>
      <c r="B167" s="2">
        <v>2723.4</v>
      </c>
      <c r="C167">
        <v>10.43</v>
      </c>
      <c r="D167">
        <v>20</v>
      </c>
      <c r="E167" s="3">
        <f t="shared" ref="E167:E201" si="8">D167*C167</f>
        <v>208.6</v>
      </c>
      <c r="F167" s="1">
        <v>3.0572100799999999</v>
      </c>
      <c r="G167" s="3">
        <v>14.655848897411314</v>
      </c>
      <c r="H167">
        <f t="shared" si="7"/>
        <v>29.9912308848</v>
      </c>
      <c r="I167" s="1"/>
    </row>
    <row r="168" spans="1:9" x14ac:dyDescent="0.25">
      <c r="A168">
        <v>1764</v>
      </c>
      <c r="B168" s="2">
        <v>2752.31</v>
      </c>
      <c r="C168">
        <v>10.77</v>
      </c>
      <c r="D168">
        <v>20</v>
      </c>
      <c r="E168" s="3">
        <f t="shared" si="8"/>
        <v>215.39999999999998</v>
      </c>
      <c r="F168" s="1">
        <v>3.1343207199999998</v>
      </c>
      <c r="G168" s="3">
        <v>14.551163974001859</v>
      </c>
      <c r="H168">
        <f t="shared" si="7"/>
        <v>30.747686263199999</v>
      </c>
      <c r="I168" s="1"/>
    </row>
    <row r="169" spans="1:9" x14ac:dyDescent="0.25">
      <c r="A169">
        <v>1768</v>
      </c>
      <c r="B169" s="2">
        <v>2787.86</v>
      </c>
      <c r="C169">
        <v>11.12</v>
      </c>
      <c r="D169">
        <v>20</v>
      </c>
      <c r="E169" s="3">
        <f t="shared" si="8"/>
        <v>222.39999999999998</v>
      </c>
      <c r="F169" s="1">
        <v>3.2205032</v>
      </c>
      <c r="G169" s="3">
        <v>14.480679856115108</v>
      </c>
      <c r="H169">
        <f t="shared" si="7"/>
        <v>31.593136392000002</v>
      </c>
      <c r="I169" s="1"/>
    </row>
    <row r="170" spans="1:9" x14ac:dyDescent="0.25">
      <c r="A170">
        <v>1772</v>
      </c>
      <c r="B170" s="2">
        <v>2819.54</v>
      </c>
      <c r="C170">
        <v>11.47</v>
      </c>
      <c r="D170">
        <v>20</v>
      </c>
      <c r="E170" s="3">
        <f t="shared" si="8"/>
        <v>229.4</v>
      </c>
      <c r="F170" s="1">
        <v>3.2794701599999998</v>
      </c>
      <c r="G170" s="3">
        <v>14.295859459459459</v>
      </c>
      <c r="H170">
        <f t="shared" si="7"/>
        <v>32.171602269600001</v>
      </c>
      <c r="I170" s="1"/>
    </row>
    <row r="171" spans="1:9" x14ac:dyDescent="0.25">
      <c r="A171">
        <v>1776</v>
      </c>
      <c r="B171" s="2">
        <v>2860.78</v>
      </c>
      <c r="C171">
        <v>11.78</v>
      </c>
      <c r="D171">
        <v>20</v>
      </c>
      <c r="E171" s="3">
        <f t="shared" si="8"/>
        <v>235.6</v>
      </c>
      <c r="F171" s="1">
        <v>3.3565808000000001</v>
      </c>
      <c r="G171" s="3">
        <v>14.246947368421054</v>
      </c>
      <c r="H171">
        <f t="shared" si="7"/>
        <v>32.928057648000006</v>
      </c>
      <c r="I171" s="1"/>
    </row>
    <row r="172" spans="1:9" x14ac:dyDescent="0.25">
      <c r="A172">
        <v>1780</v>
      </c>
      <c r="B172" s="2">
        <v>2886.81</v>
      </c>
      <c r="C172">
        <v>12.23</v>
      </c>
      <c r="D172">
        <v>20</v>
      </c>
      <c r="E172" s="3">
        <f t="shared" si="8"/>
        <v>244.60000000000002</v>
      </c>
      <c r="F172" s="1">
        <v>3.4427632799999999</v>
      </c>
      <c r="G172" s="3">
        <v>14.075074734260014</v>
      </c>
      <c r="H172">
        <f t="shared" si="7"/>
        <v>33.773507776800002</v>
      </c>
      <c r="I172" s="1"/>
    </row>
    <row r="173" spans="1:9" x14ac:dyDescent="0.25">
      <c r="A173">
        <v>1784</v>
      </c>
      <c r="B173" s="2">
        <v>2927.97</v>
      </c>
      <c r="C173">
        <v>12.62</v>
      </c>
      <c r="D173">
        <v>20</v>
      </c>
      <c r="E173" s="3">
        <f t="shared" si="8"/>
        <v>252.39999999999998</v>
      </c>
      <c r="F173" s="1">
        <v>3.5470894400000001</v>
      </c>
      <c r="G173" s="3">
        <v>14.053444690966721</v>
      </c>
      <c r="H173">
        <f t="shared" si="7"/>
        <v>34.796947406400001</v>
      </c>
      <c r="I173" s="1"/>
    </row>
    <row r="174" spans="1:9" x14ac:dyDescent="0.25">
      <c r="A174">
        <v>1788</v>
      </c>
      <c r="B174" s="2">
        <v>2967.82</v>
      </c>
      <c r="C174">
        <v>13</v>
      </c>
      <c r="D174">
        <v>20</v>
      </c>
      <c r="E174" s="3">
        <f t="shared" si="8"/>
        <v>260</v>
      </c>
      <c r="F174" s="1">
        <v>3.6423437600000006</v>
      </c>
      <c r="G174" s="3">
        <v>14.009014461538463</v>
      </c>
      <c r="H174">
        <f t="shared" si="7"/>
        <v>35.731392285600009</v>
      </c>
      <c r="I174" s="1"/>
    </row>
    <row r="175" spans="1:9" x14ac:dyDescent="0.25">
      <c r="A175">
        <v>1792</v>
      </c>
      <c r="B175" s="2">
        <v>3012.96</v>
      </c>
      <c r="C175">
        <v>13.47</v>
      </c>
      <c r="D175">
        <v>20</v>
      </c>
      <c r="E175" s="3">
        <f t="shared" si="8"/>
        <v>269.40000000000003</v>
      </c>
      <c r="F175" s="1">
        <v>3.7239903200000004</v>
      </c>
      <c r="G175" s="3">
        <v>13.823275129918336</v>
      </c>
      <c r="H175">
        <f t="shared" si="7"/>
        <v>36.532345039200003</v>
      </c>
      <c r="I175" s="1"/>
    </row>
    <row r="176" spans="1:9" x14ac:dyDescent="0.25">
      <c r="A176">
        <v>1796</v>
      </c>
      <c r="B176" s="2">
        <v>3038.86</v>
      </c>
      <c r="C176">
        <v>14</v>
      </c>
      <c r="D176">
        <v>20</v>
      </c>
      <c r="E176" s="3">
        <f t="shared" si="8"/>
        <v>280</v>
      </c>
      <c r="F176" s="1">
        <v>3.8464601600000004</v>
      </c>
      <c r="G176" s="3">
        <v>13.737357714285714</v>
      </c>
      <c r="H176">
        <f t="shared" si="7"/>
        <v>37.733774169600004</v>
      </c>
      <c r="I176" s="1"/>
    </row>
    <row r="177" spans="1:9" x14ac:dyDescent="0.25">
      <c r="A177">
        <v>1800</v>
      </c>
      <c r="B177" s="2">
        <v>3088.05</v>
      </c>
      <c r="C177">
        <v>14.46</v>
      </c>
      <c r="D177">
        <v>20</v>
      </c>
      <c r="E177" s="3">
        <f t="shared" si="8"/>
        <v>289.20000000000005</v>
      </c>
      <c r="F177" s="1">
        <v>3.9643940799999999</v>
      </c>
      <c r="G177" s="3">
        <v>13.708139972337481</v>
      </c>
      <c r="H177">
        <f t="shared" si="7"/>
        <v>38.890705924800002</v>
      </c>
      <c r="I177" s="1"/>
    </row>
    <row r="178" spans="1:9" x14ac:dyDescent="0.25">
      <c r="A178">
        <v>1804</v>
      </c>
      <c r="B178" s="2">
        <v>3122.34</v>
      </c>
      <c r="C178">
        <v>15.07</v>
      </c>
      <c r="D178">
        <v>20</v>
      </c>
      <c r="E178" s="3">
        <f t="shared" si="8"/>
        <v>301.39999999999998</v>
      </c>
      <c r="F178" s="1">
        <v>4.1004716800000001</v>
      </c>
      <c r="G178" s="3">
        <v>13.604750099535504</v>
      </c>
      <c r="H178">
        <f t="shared" si="7"/>
        <v>40.225627180800004</v>
      </c>
      <c r="I178" s="1"/>
    </row>
    <row r="179" spans="1:9" x14ac:dyDescent="0.25">
      <c r="A179">
        <v>1808</v>
      </c>
      <c r="B179" s="2">
        <v>3182.4</v>
      </c>
      <c r="C179">
        <v>15.64</v>
      </c>
      <c r="D179">
        <v>20</v>
      </c>
      <c r="E179" s="3">
        <f t="shared" si="8"/>
        <v>312.8</v>
      </c>
      <c r="F179" s="1">
        <v>4.2093337600000007</v>
      </c>
      <c r="G179" s="3">
        <v>13.456949360613812</v>
      </c>
      <c r="H179">
        <f t="shared" si="7"/>
        <v>41.293564185600012</v>
      </c>
      <c r="I179" s="1"/>
    </row>
    <row r="180" spans="1:9" x14ac:dyDescent="0.25">
      <c r="A180">
        <v>1812</v>
      </c>
      <c r="B180" s="2">
        <v>3221.19</v>
      </c>
      <c r="C180">
        <v>16.27</v>
      </c>
      <c r="D180">
        <v>20</v>
      </c>
      <c r="E180" s="3">
        <f t="shared" si="8"/>
        <v>325.39999999999998</v>
      </c>
      <c r="F180" s="1">
        <v>4.3272676800000003</v>
      </c>
      <c r="G180" s="3">
        <v>13.298302642901046</v>
      </c>
      <c r="H180">
        <f t="shared" si="7"/>
        <v>42.450495940800003</v>
      </c>
      <c r="I180" s="1"/>
    </row>
    <row r="181" spans="1:9" x14ac:dyDescent="0.25">
      <c r="A181">
        <v>1816</v>
      </c>
      <c r="B181" s="2">
        <v>3267.78</v>
      </c>
      <c r="C181">
        <v>16.829999999999998</v>
      </c>
      <c r="D181">
        <v>20</v>
      </c>
      <c r="E181" s="3">
        <f t="shared" si="8"/>
        <v>336.59999999999997</v>
      </c>
      <c r="F181" s="1">
        <v>4.4225219999999998</v>
      </c>
      <c r="G181" s="3">
        <v>13.138805704099823</v>
      </c>
      <c r="H181">
        <f t="shared" si="7"/>
        <v>43.384940820000004</v>
      </c>
      <c r="I181" s="1"/>
    </row>
    <row r="182" spans="1:9" x14ac:dyDescent="0.25">
      <c r="A182">
        <v>1820</v>
      </c>
      <c r="B182" s="2">
        <v>3304.38</v>
      </c>
      <c r="C182">
        <v>17.510000000000002</v>
      </c>
      <c r="D182">
        <v>20</v>
      </c>
      <c r="E182" s="3">
        <f t="shared" si="8"/>
        <v>350.20000000000005</v>
      </c>
      <c r="F182" s="1">
        <v>4.5540636800000005</v>
      </c>
      <c r="G182" s="3">
        <v>13.004179554540261</v>
      </c>
      <c r="H182">
        <f t="shared" si="7"/>
        <v>44.67536470080001</v>
      </c>
      <c r="I182" s="1"/>
    </row>
    <row r="183" spans="1:9" x14ac:dyDescent="0.25">
      <c r="A183">
        <v>1824</v>
      </c>
      <c r="B183" s="2">
        <v>3340.51</v>
      </c>
      <c r="C183">
        <v>18.07</v>
      </c>
      <c r="D183">
        <v>20</v>
      </c>
      <c r="E183" s="3">
        <f t="shared" si="8"/>
        <v>361.4</v>
      </c>
      <c r="F183" s="1">
        <v>4.6992131200000005</v>
      </c>
      <c r="G183" s="3">
        <v>13.002803320420588</v>
      </c>
      <c r="H183">
        <f t="shared" si="7"/>
        <v>46.099280707200009</v>
      </c>
      <c r="I183" s="1"/>
    </row>
    <row r="184" spans="1:9" x14ac:dyDescent="0.25">
      <c r="A184">
        <v>1828</v>
      </c>
      <c r="B184" s="2">
        <v>3380.38</v>
      </c>
      <c r="C184">
        <v>18.690000000000001</v>
      </c>
      <c r="D184">
        <v>20</v>
      </c>
      <c r="E184" s="3">
        <f t="shared" si="8"/>
        <v>373.8</v>
      </c>
      <c r="F184" s="1">
        <v>4.8216829600000004</v>
      </c>
      <c r="G184" s="3">
        <v>12.899098341359016</v>
      </c>
      <c r="H184">
        <f t="shared" si="7"/>
        <v>47.300709837600003</v>
      </c>
      <c r="I184" s="1"/>
    </row>
    <row r="185" spans="1:9" x14ac:dyDescent="0.25">
      <c r="A185">
        <v>1832</v>
      </c>
      <c r="B185" s="2">
        <v>3418.33</v>
      </c>
      <c r="C185">
        <v>19.3</v>
      </c>
      <c r="D185">
        <v>20</v>
      </c>
      <c r="E185" s="3">
        <f t="shared" si="8"/>
        <v>386</v>
      </c>
      <c r="F185" s="1">
        <v>4.9305450400000002</v>
      </c>
      <c r="G185" s="3">
        <v>12.77343274611399</v>
      </c>
      <c r="H185">
        <f t="shared" si="7"/>
        <v>48.368646842400004</v>
      </c>
      <c r="I185" s="1"/>
    </row>
    <row r="186" spans="1:9" x14ac:dyDescent="0.25">
      <c r="A186">
        <v>1836</v>
      </c>
      <c r="B186" s="2">
        <v>3453.14</v>
      </c>
      <c r="C186">
        <v>19.98</v>
      </c>
      <c r="D186">
        <v>20</v>
      </c>
      <c r="E186" s="3">
        <f t="shared" si="8"/>
        <v>399.6</v>
      </c>
      <c r="F186" s="1">
        <v>5.0212634400000002</v>
      </c>
      <c r="G186" s="3">
        <v>12.565724324324323</v>
      </c>
      <c r="H186">
        <f t="shared" si="7"/>
        <v>49.258594346400002</v>
      </c>
      <c r="I186" s="1"/>
    </row>
    <row r="187" spans="1:9" x14ac:dyDescent="0.25">
      <c r="A187">
        <v>1840</v>
      </c>
      <c r="B187" s="2">
        <v>3480.93</v>
      </c>
      <c r="C187">
        <v>20.63</v>
      </c>
      <c r="D187">
        <v>20</v>
      </c>
      <c r="E187" s="3">
        <f t="shared" si="8"/>
        <v>412.59999999999997</v>
      </c>
      <c r="F187" s="1">
        <v>5.1437332800000011</v>
      </c>
      <c r="G187" s="3">
        <v>12.466634222006789</v>
      </c>
      <c r="H187">
        <f t="shared" si="7"/>
        <v>50.460023476800011</v>
      </c>
      <c r="I187" s="1"/>
    </row>
    <row r="188" spans="1:9" x14ac:dyDescent="0.25">
      <c r="A188">
        <v>1844</v>
      </c>
      <c r="B188" s="2">
        <v>3518.96</v>
      </c>
      <c r="C188">
        <v>21.21</v>
      </c>
      <c r="D188">
        <v>20</v>
      </c>
      <c r="E188" s="3">
        <f t="shared" si="8"/>
        <v>424.20000000000005</v>
      </c>
      <c r="F188" s="1">
        <v>5.2027002400000004</v>
      </c>
      <c r="G188" s="3">
        <v>12.264734181989626</v>
      </c>
      <c r="H188">
        <f t="shared" si="7"/>
        <v>51.038489354400006</v>
      </c>
      <c r="I188" s="1"/>
    </row>
    <row r="189" spans="1:9" x14ac:dyDescent="0.25">
      <c r="A189">
        <v>1848</v>
      </c>
      <c r="B189" s="2">
        <v>3560.94</v>
      </c>
      <c r="C189">
        <v>21.88</v>
      </c>
      <c r="D189">
        <v>20</v>
      </c>
      <c r="E189" s="3">
        <f t="shared" si="8"/>
        <v>437.59999999999997</v>
      </c>
      <c r="F189" s="1">
        <v>5.3932088800000004</v>
      </c>
      <c r="G189" s="3">
        <v>12.324517550274225</v>
      </c>
      <c r="H189">
        <f t="shared" si="7"/>
        <v>52.907379112800008</v>
      </c>
      <c r="I189" s="1"/>
    </row>
    <row r="190" spans="1:9" x14ac:dyDescent="0.25">
      <c r="A190">
        <v>1852</v>
      </c>
      <c r="B190" s="2">
        <v>3593.42</v>
      </c>
      <c r="C190">
        <v>22.49</v>
      </c>
      <c r="D190">
        <v>20</v>
      </c>
      <c r="E190" s="3">
        <f t="shared" si="8"/>
        <v>449.79999999999995</v>
      </c>
      <c r="F190" s="1">
        <v>5.5202146400000007</v>
      </c>
      <c r="G190" s="3">
        <v>12.272598132503337</v>
      </c>
      <c r="H190">
        <f t="shared" si="7"/>
        <v>54.153305618400012</v>
      </c>
      <c r="I190" s="1"/>
    </row>
    <row r="191" spans="1:9" x14ac:dyDescent="0.25">
      <c r="A191">
        <v>1856</v>
      </c>
      <c r="B191" s="2">
        <v>3614</v>
      </c>
      <c r="C191">
        <v>23.2</v>
      </c>
      <c r="D191">
        <v>20</v>
      </c>
      <c r="E191" s="3">
        <f t="shared" si="8"/>
        <v>464</v>
      </c>
      <c r="F191" s="1">
        <v>5.6200048799999998</v>
      </c>
      <c r="G191" s="3">
        <v>12.112079482758622</v>
      </c>
      <c r="H191">
        <f t="shared" si="7"/>
        <v>55.132247872800001</v>
      </c>
      <c r="I191" s="1"/>
    </row>
    <row r="192" spans="1:9" x14ac:dyDescent="0.25">
      <c r="A192">
        <v>1860</v>
      </c>
      <c r="B192" s="2">
        <v>3659.78</v>
      </c>
      <c r="C192">
        <v>23.8</v>
      </c>
      <c r="D192">
        <v>20</v>
      </c>
      <c r="E192" s="3">
        <f t="shared" si="8"/>
        <v>476</v>
      </c>
      <c r="F192" s="1">
        <v>5.7107232800000007</v>
      </c>
      <c r="G192" s="3">
        <v>11.997317815126051</v>
      </c>
      <c r="H192">
        <f t="shared" si="7"/>
        <v>56.022195376800013</v>
      </c>
      <c r="I192" s="1"/>
    </row>
    <row r="193" spans="1:9" x14ac:dyDescent="0.25">
      <c r="A193">
        <v>1864</v>
      </c>
      <c r="B193" s="2">
        <v>3683.93</v>
      </c>
      <c r="C193">
        <v>24.55</v>
      </c>
      <c r="D193">
        <v>20</v>
      </c>
      <c r="E193" s="3">
        <f t="shared" si="8"/>
        <v>491</v>
      </c>
      <c r="F193" s="1">
        <v>5.8150494400000001</v>
      </c>
      <c r="G193" s="3">
        <v>11.843277881873727</v>
      </c>
      <c r="H193">
        <f t="shared" si="7"/>
        <v>57.045635006400005</v>
      </c>
      <c r="I193" s="1"/>
    </row>
    <row r="194" spans="1:9" x14ac:dyDescent="0.25">
      <c r="A194">
        <v>1868</v>
      </c>
      <c r="B194" s="2">
        <v>3720.9</v>
      </c>
      <c r="C194">
        <v>25.19</v>
      </c>
      <c r="D194">
        <v>20</v>
      </c>
      <c r="E194" s="3">
        <f t="shared" si="8"/>
        <v>503.8</v>
      </c>
      <c r="F194" s="1">
        <v>5.9284474400000002</v>
      </c>
      <c r="G194" s="3">
        <v>11.767462167526796</v>
      </c>
      <c r="H194">
        <f t="shared" si="7"/>
        <v>58.158069386400008</v>
      </c>
      <c r="I194" s="1"/>
    </row>
    <row r="195" spans="1:9" x14ac:dyDescent="0.25">
      <c r="A195">
        <v>1872</v>
      </c>
      <c r="B195" s="2">
        <v>3731.58</v>
      </c>
      <c r="C195">
        <v>25.95</v>
      </c>
      <c r="D195">
        <v>20</v>
      </c>
      <c r="E195" s="3">
        <f t="shared" si="8"/>
        <v>519</v>
      </c>
      <c r="F195" s="1">
        <v>6.0599891200000009</v>
      </c>
      <c r="G195" s="3">
        <v>11.676279614643546</v>
      </c>
      <c r="H195">
        <f t="shared" ref="H195:H202" si="9">F195*9.81</f>
        <v>59.448493267200014</v>
      </c>
      <c r="I195" s="1"/>
    </row>
    <row r="196" spans="1:9" x14ac:dyDescent="0.25">
      <c r="A196">
        <v>1876</v>
      </c>
      <c r="B196" s="2">
        <v>3778.31</v>
      </c>
      <c r="C196">
        <v>26.62</v>
      </c>
      <c r="D196">
        <v>20</v>
      </c>
      <c r="E196" s="3">
        <f t="shared" si="8"/>
        <v>532.4</v>
      </c>
      <c r="F196" s="1">
        <v>6.128027920000001</v>
      </c>
      <c r="G196" s="3">
        <v>11.510195191585275</v>
      </c>
      <c r="H196">
        <f t="shared" si="9"/>
        <v>60.115953895200015</v>
      </c>
      <c r="I196" s="1"/>
    </row>
    <row r="197" spans="1:9" x14ac:dyDescent="0.25">
      <c r="A197">
        <v>1880</v>
      </c>
      <c r="B197" s="2">
        <v>3800.88</v>
      </c>
      <c r="C197">
        <v>27.55</v>
      </c>
      <c r="D197">
        <v>20</v>
      </c>
      <c r="E197" s="3">
        <f t="shared" si="8"/>
        <v>551</v>
      </c>
      <c r="F197" s="1">
        <v>6.2550336800000004</v>
      </c>
      <c r="G197" s="3">
        <v>11.352148239564428</v>
      </c>
      <c r="H197">
        <f t="shared" si="9"/>
        <v>61.361880400800004</v>
      </c>
      <c r="I197" s="1"/>
    </row>
    <row r="198" spans="1:9" x14ac:dyDescent="0.25">
      <c r="A198">
        <v>1884</v>
      </c>
      <c r="B198" s="2">
        <v>3836.65</v>
      </c>
      <c r="C198">
        <v>28.12</v>
      </c>
      <c r="D198">
        <v>20</v>
      </c>
      <c r="E198" s="3">
        <f t="shared" si="8"/>
        <v>562.4</v>
      </c>
      <c r="F198" s="1">
        <v>6.3638957600000001</v>
      </c>
      <c r="G198" s="3">
        <v>11.31560412517781</v>
      </c>
      <c r="H198">
        <f t="shared" si="9"/>
        <v>62.429817405600005</v>
      </c>
      <c r="I198" s="1"/>
    </row>
    <row r="199" spans="1:9" x14ac:dyDescent="0.25">
      <c r="A199">
        <v>1888</v>
      </c>
      <c r="B199" s="2">
        <v>3854.98</v>
      </c>
      <c r="C199">
        <v>28.95</v>
      </c>
      <c r="D199">
        <v>20</v>
      </c>
      <c r="E199" s="3">
        <f t="shared" si="8"/>
        <v>579</v>
      </c>
      <c r="F199" s="1">
        <v>6.4591500799999997</v>
      </c>
      <c r="G199" s="3">
        <v>11.155699620034541</v>
      </c>
      <c r="H199">
        <f t="shared" si="9"/>
        <v>63.364262284799999</v>
      </c>
      <c r="I199" s="1"/>
    </row>
    <row r="200" spans="1:9" x14ac:dyDescent="0.25">
      <c r="A200">
        <v>1892</v>
      </c>
      <c r="B200" s="2">
        <v>3876.51</v>
      </c>
      <c r="C200">
        <v>29.74</v>
      </c>
      <c r="D200">
        <v>20</v>
      </c>
      <c r="E200" s="3">
        <f t="shared" si="8"/>
        <v>594.79999999999995</v>
      </c>
      <c r="F200" s="1">
        <v>6.5544044000000001</v>
      </c>
      <c r="G200" s="3">
        <v>11.019509751176868</v>
      </c>
      <c r="H200">
        <f t="shared" si="9"/>
        <v>64.298707164000007</v>
      </c>
      <c r="I200" s="1"/>
    </row>
    <row r="201" spans="1:9" x14ac:dyDescent="0.25">
      <c r="A201">
        <v>1896</v>
      </c>
      <c r="B201" s="2">
        <v>3906.54</v>
      </c>
      <c r="C201">
        <v>30.46</v>
      </c>
      <c r="D201">
        <v>20</v>
      </c>
      <c r="E201" s="3">
        <f t="shared" si="8"/>
        <v>609.20000000000005</v>
      </c>
      <c r="F201" s="1">
        <v>6.6224432000000002</v>
      </c>
      <c r="G201" s="3">
        <v>10.870720945502299</v>
      </c>
      <c r="H201">
        <f t="shared" si="9"/>
        <v>64.966167792000007</v>
      </c>
      <c r="I201" s="1"/>
    </row>
    <row r="202" spans="1:9" x14ac:dyDescent="0.25">
      <c r="A202">
        <v>1900</v>
      </c>
      <c r="B202" s="2">
        <v>3930.978333333333</v>
      </c>
      <c r="C202" s="1">
        <v>31.208333333333332</v>
      </c>
      <c r="D202">
        <v>20</v>
      </c>
      <c r="E202" s="3">
        <v>624.16666666666663</v>
      </c>
      <c r="F202" s="1">
        <v>6.7222334400000001</v>
      </c>
      <c r="G202" s="3">
        <v>10.769937216716604</v>
      </c>
      <c r="H202">
        <f t="shared" si="9"/>
        <v>65.945110046400004</v>
      </c>
      <c r="I202" s="1"/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FAD-DB80-48FF-973D-6E4715B52F2C}">
  <dimension ref="A1:U201"/>
  <sheetViews>
    <sheetView tabSelected="1" workbookViewId="0">
      <selection activeCell="V6" sqref="V6"/>
    </sheetView>
  </sheetViews>
  <sheetFormatPr defaultRowHeight="15" x14ac:dyDescent="0.25"/>
  <cols>
    <col min="8" max="13" width="9" customWidth="1"/>
  </cols>
  <sheetData>
    <row r="1" spans="1:21" x14ac:dyDescent="0.25">
      <c r="A1" s="1">
        <v>-22.656580205999994</v>
      </c>
      <c r="B1">
        <v>-28.4857363572</v>
      </c>
      <c r="C1">
        <v>-34.500298238400006</v>
      </c>
      <c r="D1">
        <v>-39.921561783600005</v>
      </c>
      <c r="E1">
        <v>-45.031343702400001</v>
      </c>
      <c r="F1">
        <v>-49.399502701200007</v>
      </c>
      <c r="G1" t="s">
        <v>8</v>
      </c>
      <c r="H1" cm="1">
        <f t="array" ref="H1">INDEX($A$1:$A$201, ROWS($A$1:$A$201) - ROW(A1)+1)</f>
        <v>28.700807004000001</v>
      </c>
      <c r="I1" cm="1">
        <f t="array" ref="I1">INDEX(B$1:B$201, ROWS(B$1:B$201) - ROW(B1)+1)</f>
        <v>36.435934059600008</v>
      </c>
      <c r="J1" cm="1">
        <f t="array" ref="J1">INDEX(C$1:C$201, ROWS(C$1:C$201) - ROW(C1)+1)</f>
        <v>44.378715532800001</v>
      </c>
      <c r="K1" cm="1">
        <f t="array" ref="K1">INDEX(D$1:D$201, ROWS(D$1:D$201) - ROW(D1)+1)</f>
        <v>51.453798189600001</v>
      </c>
      <c r="L1" cm="1">
        <f t="array" ref="L1">INDEX(E$1:E$201, ROWS(E$1:E$201) - ROW(E1)+1)</f>
        <v>59.018351973600005</v>
      </c>
      <c r="M1" cm="1">
        <f t="array" ref="M1">INDEX(F$1:F$201, ROWS(F$1:F$201) - ROW(F1)+1)</f>
        <v>65.945110046400004</v>
      </c>
      <c r="N1" s="1" t="s">
        <v>9</v>
      </c>
      <c r="O1" s="1">
        <v>-22.656580205999994</v>
      </c>
      <c r="P1">
        <v>-28.4857363572</v>
      </c>
      <c r="Q1">
        <v>-34.500298238400006</v>
      </c>
      <c r="R1">
        <v>-39.921561783600005</v>
      </c>
      <c r="S1">
        <v>-45.031343702400001</v>
      </c>
      <c r="T1">
        <v>-49.399502701200007</v>
      </c>
      <c r="U1" t="s">
        <v>10</v>
      </c>
    </row>
    <row r="2" spans="1:21" x14ac:dyDescent="0.25">
      <c r="A2" s="1">
        <v>-22.604666601600002</v>
      </c>
      <c r="B2">
        <v>-28.6118122536</v>
      </c>
      <c r="C2">
        <v>-34.307476279199996</v>
      </c>
      <c r="D2">
        <v>-39.736156053599998</v>
      </c>
      <c r="E2">
        <v>-44.586369950399998</v>
      </c>
      <c r="F2">
        <v>-48.635631093600004</v>
      </c>
      <c r="H2" cm="1">
        <f t="array" ref="H2">INDEX($A$1:$A$201, ROWS($A$1:$A$201) - ROW(A2)+1)</f>
        <v>28.611812253600004</v>
      </c>
      <c r="I2" cm="1">
        <f t="array" ref="I2">INDEX(B$1:B$201, ROWS(B$1:B$201) - ROW(B2)+1)</f>
        <v>36.2208634128</v>
      </c>
      <c r="J2" cm="1">
        <f t="array" ref="J2">INDEX(C$1:C$201, ROWS(C$1:C$201) - ROW(C2)+1)</f>
        <v>44.408380449600003</v>
      </c>
      <c r="K2" cm="1">
        <f t="array" ref="K2">INDEX(D$1:D$201, ROWS(D$1:D$201) - ROW(D2)+1)</f>
        <v>51.216478855200002</v>
      </c>
      <c r="L2" cm="1">
        <f t="array" ref="L2">INDEX(E$1:E$201, ROWS(E$1:E$201) - ROW(E2)+1)</f>
        <v>58.692037888800002</v>
      </c>
      <c r="M2" cm="1">
        <f t="array" ref="M2">INDEX(F$1:F$201, ROWS(F$1:F$201) - ROW(F2)+1)</f>
        <v>64.966167792000007</v>
      </c>
      <c r="N2" s="1"/>
      <c r="O2" s="1">
        <v>-22.604666601600002</v>
      </c>
      <c r="P2">
        <v>-28.6118122536</v>
      </c>
      <c r="Q2">
        <v>-34.307476279199996</v>
      </c>
      <c r="R2">
        <v>-39.736156053599998</v>
      </c>
      <c r="S2">
        <v>-44.586369950399998</v>
      </c>
      <c r="T2">
        <v>-48.635631093600004</v>
      </c>
    </row>
    <row r="3" spans="1:21" x14ac:dyDescent="0.25">
      <c r="A3" s="1">
        <v>-22.5156718512</v>
      </c>
      <c r="B3">
        <v>-28.389325377599999</v>
      </c>
      <c r="C3">
        <v>-34.262978904000001</v>
      </c>
      <c r="D3">
        <v>-39.469171802399998</v>
      </c>
      <c r="E3">
        <v>-44.452877824800005</v>
      </c>
      <c r="F3">
        <v>-48.279652092000006</v>
      </c>
      <c r="H3" cm="1">
        <f t="array" ref="H3">INDEX($A$1:$A$201, ROWS($A$1:$A$201) - ROW(A3)+1)</f>
        <v>28.389325377600006</v>
      </c>
      <c r="I3" cm="1">
        <f t="array" ref="I3">INDEX(B$1:B$201, ROWS(B$1:B$201) - ROW(B3)+1)</f>
        <v>36.3543555384</v>
      </c>
      <c r="J3" cm="1">
        <f t="array" ref="J3">INDEX(C$1:C$201, ROWS(C$1:C$201) - ROW(C3)+1)</f>
        <v>44.230390948800007</v>
      </c>
      <c r="K3" cm="1">
        <f t="array" ref="K3">INDEX(D$1:D$201, ROWS(D$1:D$201) - ROW(D3)+1)</f>
        <v>50.771505103200006</v>
      </c>
      <c r="L3" cm="1">
        <f t="array" ref="L3">INDEX(E$1:E$201, ROWS(E$1:E$201) - ROW(E3)+1)</f>
        <v>57.846587760000006</v>
      </c>
      <c r="M3" cm="1">
        <f t="array" ref="M3">INDEX(F$1:F$201, ROWS(F$1:F$201) - ROW(F3)+1)</f>
        <v>64.298707164000007</v>
      </c>
      <c r="N3" s="1"/>
      <c r="O3" s="1">
        <v>-22.5156718512</v>
      </c>
      <c r="P3">
        <v>-28.389325377599999</v>
      </c>
      <c r="Q3">
        <v>-34.262978904000001</v>
      </c>
      <c r="R3">
        <v>-39.469171802399998</v>
      </c>
      <c r="S3">
        <v>-44.452877824800005</v>
      </c>
      <c r="T3">
        <v>-48.279652092000006</v>
      </c>
    </row>
    <row r="4" spans="1:21" x14ac:dyDescent="0.25">
      <c r="A4" s="1">
        <v>-22.382179725600004</v>
      </c>
      <c r="B4">
        <v>-27.766362124800004</v>
      </c>
      <c r="C4">
        <v>-33.8625025272</v>
      </c>
      <c r="D4">
        <v>-38.890705924800002</v>
      </c>
      <c r="E4">
        <v>-43.918909322399998</v>
      </c>
      <c r="F4">
        <v>-47.523196713600008</v>
      </c>
      <c r="H4" cm="1">
        <f t="array" ref="H4">INDEX($A$1:$A$201, ROWS($A$1:$A$201) - ROW(A4)+1)</f>
        <v>28.211335876800003</v>
      </c>
      <c r="I4" cm="1">
        <f t="array" ref="I4">INDEX(B$1:B$201, ROWS(B$1:B$201) - ROW(B4)+1)</f>
        <v>35.6868949104</v>
      </c>
      <c r="J4" cm="1">
        <f t="array" ref="J4">INDEX(C$1:C$201, ROWS(C$1:C$201) - ROW(C4)+1)</f>
        <v>43.384940820000004</v>
      </c>
      <c r="K4" cm="1">
        <f t="array" ref="K4">INDEX(D$1:D$201, ROWS(D$1:D$201) - ROW(D4)+1)</f>
        <v>50.460023476800004</v>
      </c>
      <c r="L4" cm="1">
        <f t="array" ref="L4">INDEX(E$1:E$201, ROWS(E$1:E$201) - ROW(E4)+1)</f>
        <v>57.134629756800003</v>
      </c>
      <c r="M4" cm="1">
        <f t="array" ref="M4">INDEX(F$1:F$201, ROWS(F$1:F$201) - ROW(F4)+1)</f>
        <v>63.364262284799999</v>
      </c>
      <c r="N4" s="1"/>
      <c r="O4" s="1">
        <v>-22.382179725600004</v>
      </c>
      <c r="P4">
        <v>-27.766362124800004</v>
      </c>
      <c r="Q4">
        <v>-33.8625025272</v>
      </c>
      <c r="R4">
        <v>-38.890705924800002</v>
      </c>
      <c r="S4">
        <v>-43.918909322399998</v>
      </c>
      <c r="T4">
        <v>-47.523196713600008</v>
      </c>
    </row>
    <row r="5" spans="1:21" x14ac:dyDescent="0.25">
      <c r="A5" s="1">
        <v>-21.803713848000001</v>
      </c>
      <c r="B5">
        <v>-27.321388372799998</v>
      </c>
      <c r="C5">
        <v>-33.373031400000002</v>
      </c>
      <c r="D5">
        <v>-38.267742671999997</v>
      </c>
      <c r="E5">
        <v>-43.340443444800009</v>
      </c>
      <c r="F5">
        <v>-47.033725586400003</v>
      </c>
      <c r="H5" cm="1">
        <f t="array" ref="H5">INDEX($A$1:$A$201, ROWS($A$1:$A$201) - ROW(A5)+1)</f>
        <v>27.677367374400006</v>
      </c>
      <c r="I5" cm="1">
        <f t="array" ref="I5">INDEX(B$1:B$201, ROWS(B$1:B$201) - ROW(B5)+1)</f>
        <v>35.019434282400006</v>
      </c>
      <c r="J5" cm="1">
        <f t="array" ref="J5">INDEX(C$1:C$201, ROWS(C$1:C$201) - ROW(C5)+1)</f>
        <v>42.984464443200004</v>
      </c>
      <c r="K5" cm="1">
        <f t="array" ref="K5">INDEX(D$1:D$201, ROWS(D$1:D$201) - ROW(D5)+1)</f>
        <v>49.792562848800003</v>
      </c>
      <c r="L5" cm="1">
        <f t="array" ref="L5">INDEX(E$1:E$201, ROWS(E$1:E$201) - ROW(E5)+1)</f>
        <v>56.600661254400002</v>
      </c>
      <c r="M5" cm="1">
        <f t="array" ref="M5">INDEX(F$1:F$201, ROWS(F$1:F$201) - ROW(F5)+1)</f>
        <v>62.429817405600005</v>
      </c>
      <c r="N5" s="1"/>
      <c r="O5" s="1">
        <v>-21.803713848000001</v>
      </c>
      <c r="P5">
        <v>-27.321388372799998</v>
      </c>
      <c r="Q5">
        <v>-33.373031400000002</v>
      </c>
      <c r="R5">
        <v>-38.267742671999997</v>
      </c>
      <c r="S5">
        <v>-43.340443444800009</v>
      </c>
      <c r="T5">
        <v>-47.033725586400003</v>
      </c>
    </row>
    <row r="6" spans="1:21" x14ac:dyDescent="0.25">
      <c r="A6" s="1">
        <v>-21.403237471200001</v>
      </c>
      <c r="B6">
        <v>-27.098901496800003</v>
      </c>
      <c r="C6">
        <v>-32.928057647999999</v>
      </c>
      <c r="D6">
        <v>-37.956261045599994</v>
      </c>
      <c r="E6">
        <v>-42.672982816800008</v>
      </c>
      <c r="F6">
        <v>-46.544254459200005</v>
      </c>
      <c r="H6" cm="1">
        <f t="array" ref="H6">INDEX($A$1:$A$201, ROWS($A$1:$A$201) - ROW(A6)+1)</f>
        <v>27.187896247200001</v>
      </c>
      <c r="I6" cm="1">
        <f t="array" ref="I6">INDEX(B$1:B$201, ROWS(B$1:B$201) - ROW(B6)+1)</f>
        <v>34.351973654399998</v>
      </c>
      <c r="J6" cm="1">
        <f t="array" ref="J6">INDEX(C$1:C$201, ROWS(C$1:C$201) - ROW(C6)+1)</f>
        <v>42.228009064800005</v>
      </c>
      <c r="K6" cm="1">
        <f t="array" ref="K6">INDEX(D$1:D$201, ROWS(D$1:D$201) - ROW(D6)+1)</f>
        <v>49.169599596000005</v>
      </c>
      <c r="L6" cm="1">
        <f t="array" ref="L6">INDEX(E$1:E$201, ROWS(E$1:E$201) - ROW(E6)+1)</f>
        <v>55.577221624800003</v>
      </c>
      <c r="M6" cm="1">
        <f t="array" ref="M6">INDEX(F$1:F$201, ROWS(F$1:F$201) - ROW(F6)+1)</f>
        <v>61.361880400800004</v>
      </c>
      <c r="N6" s="1"/>
      <c r="O6" s="1">
        <v>-21.403237471200001</v>
      </c>
      <c r="P6">
        <v>-27.098901496800003</v>
      </c>
      <c r="Q6">
        <v>-32.928057647999999</v>
      </c>
      <c r="R6">
        <v>-37.956261045599994</v>
      </c>
      <c r="S6">
        <v>-42.672982816800008</v>
      </c>
      <c r="T6">
        <v>-46.544254459200005</v>
      </c>
    </row>
    <row r="7" spans="1:21" x14ac:dyDescent="0.25">
      <c r="A7" s="1">
        <v>-21.225247970399998</v>
      </c>
      <c r="B7">
        <v>-26.69842512</v>
      </c>
      <c r="C7">
        <v>-32.305094395200001</v>
      </c>
      <c r="D7">
        <v>-37.511287293599999</v>
      </c>
      <c r="E7">
        <v>-42.628485441599999</v>
      </c>
      <c r="F7">
        <v>-45.910800000000002</v>
      </c>
      <c r="H7" cm="1">
        <f t="array" ref="H7">INDEX($A$1:$A$201, ROWS($A$1:$A$201) - ROW(A7)+1)</f>
        <v>26.831917245600003</v>
      </c>
      <c r="I7" cm="1">
        <f t="array" ref="I7">INDEX(B$1:B$201, ROWS(B$1:B$201) - ROW(B7)+1)</f>
        <v>33.818005151999998</v>
      </c>
      <c r="J7" cm="1">
        <f t="array" ref="J7">INDEX(C$1:C$201, ROWS(C$1:C$201) - ROW(C7)+1)</f>
        <v>41.338061560800007</v>
      </c>
      <c r="K7" cm="1">
        <f t="array" ref="K7">INDEX(D$1:D$201, ROWS(D$1:D$201) - ROW(D7)+1)</f>
        <v>48.368646842400004</v>
      </c>
      <c r="L7" cm="1">
        <f t="array" ref="L7">INDEX(E$1:E$201, ROWS(E$1:E$201) - ROW(E7)+1)</f>
        <v>54.909760996800003</v>
      </c>
      <c r="M7" cm="1">
        <f t="array" ref="M7">INDEX(F$1:F$201, ROWS(F$1:F$201) - ROW(F7)+1)</f>
        <v>60.115953895200015</v>
      </c>
      <c r="N7" s="1"/>
      <c r="O7" s="1">
        <v>-21.225247970399998</v>
      </c>
      <c r="P7">
        <v>-26.69842512</v>
      </c>
      <c r="Q7">
        <v>-32.305094395200001</v>
      </c>
      <c r="R7">
        <v>-37.511287293599999</v>
      </c>
      <c r="S7">
        <v>-42.628485441599999</v>
      </c>
      <c r="T7">
        <v>-45.910800000000002</v>
      </c>
    </row>
    <row r="8" spans="1:21" x14ac:dyDescent="0.25">
      <c r="A8" s="1">
        <v>-20.913766343999999</v>
      </c>
      <c r="B8">
        <v>-26.208953992800001</v>
      </c>
      <c r="C8">
        <v>-31.860120643200002</v>
      </c>
      <c r="D8">
        <v>-37.288800417600008</v>
      </c>
      <c r="E8">
        <v>-40.893087808800004</v>
      </c>
      <c r="F8">
        <v>-44.897851576800001</v>
      </c>
      <c r="H8" cm="1">
        <f t="array" ref="H8">INDEX($A$1:$A$201, ROWS($A$1:$A$201) - ROW(A8)+1)</f>
        <v>26.342446118400002</v>
      </c>
      <c r="I8" cm="1">
        <f t="array" ref="I8">INDEX(B$1:B$201, ROWS(B$1:B$201) - ROW(B8)+1)</f>
        <v>33.373031400000002</v>
      </c>
      <c r="J8" cm="1">
        <f t="array" ref="J8">INDEX(C$1:C$201, ROWS(C$1:C$201) - ROW(C8)+1)</f>
        <v>40.759595683200004</v>
      </c>
      <c r="K8" cm="1">
        <f t="array" ref="K8">INDEX(D$1:D$201, ROWS(D$1:D$201) - ROW(D8)+1)</f>
        <v>47.434201963199996</v>
      </c>
      <c r="L8" cm="1">
        <f t="array" ref="L8">INDEX(E$1:E$201, ROWS(E$1:E$201) - ROW(E8)+1)</f>
        <v>53.9308187424</v>
      </c>
      <c r="M8" cm="1">
        <f t="array" ref="M8">INDEX(F$1:F$201, ROWS(F$1:F$201) - ROW(F8)+1)</f>
        <v>59.448493267200014</v>
      </c>
      <c r="N8" s="1"/>
      <c r="O8" s="1">
        <v>-20.913766343999999</v>
      </c>
      <c r="P8">
        <v>-26.208953992800001</v>
      </c>
      <c r="Q8">
        <v>-31.860120643200002</v>
      </c>
      <c r="R8">
        <v>-37.288800417600008</v>
      </c>
      <c r="S8">
        <v>-40.893087808800004</v>
      </c>
      <c r="T8">
        <v>-44.897851576800001</v>
      </c>
    </row>
    <row r="9" spans="1:21" x14ac:dyDescent="0.25">
      <c r="A9" s="1">
        <v>-20.691279468000005</v>
      </c>
      <c r="B9">
        <v>-25.496995989600002</v>
      </c>
      <c r="C9">
        <v>-31.281654765599999</v>
      </c>
      <c r="D9">
        <v>-36.799329290400003</v>
      </c>
      <c r="E9">
        <v>-41.026579934400004</v>
      </c>
      <c r="F9">
        <v>-43.785417196799997</v>
      </c>
      <c r="H9" cm="1">
        <f t="array" ref="H9">INDEX($A$1:$A$201, ROWS($A$1:$A$201) - ROW(A9)+1)</f>
        <v>25.986467116800007</v>
      </c>
      <c r="I9" cm="1">
        <f t="array" ref="I9">INDEX(B$1:B$201, ROWS(B$1:B$201) - ROW(B9)+1)</f>
        <v>33.150544524000004</v>
      </c>
      <c r="J9" cm="1">
        <f t="array" ref="J9">INDEX(C$1:C$201, ROWS(C$1:C$201) - ROW(C9)+1)</f>
        <v>40.314621931200001</v>
      </c>
      <c r="K9" cm="1">
        <f t="array" ref="K9">INDEX(D$1:D$201, ROWS(D$1:D$201) - ROW(D9)+1)</f>
        <v>46.944730836000005</v>
      </c>
      <c r="L9" cm="1">
        <f t="array" ref="L9">INDEX(E$1:E$201, ROWS(E$1:E$201) - ROW(E9)+1)</f>
        <v>52.818384362400003</v>
      </c>
      <c r="M9" cm="1">
        <f t="array" ref="M9">INDEX(F$1:F$201, ROWS(F$1:F$201) - ROW(F9)+1)</f>
        <v>58.158069386400008</v>
      </c>
      <c r="N9" s="1"/>
      <c r="O9" s="1">
        <v>-20.691279468000005</v>
      </c>
      <c r="P9">
        <v>-25.496995989600002</v>
      </c>
      <c r="Q9">
        <v>-31.281654765599999</v>
      </c>
      <c r="R9">
        <v>-36.799329290400003</v>
      </c>
      <c r="S9">
        <v>-41.026579934400004</v>
      </c>
      <c r="T9">
        <v>-43.785417196799997</v>
      </c>
    </row>
    <row r="10" spans="1:21" x14ac:dyDescent="0.25">
      <c r="A10" s="1">
        <v>-20.157310965600001</v>
      </c>
      <c r="B10">
        <v>-25.4524986144</v>
      </c>
      <c r="C10">
        <v>-30.792183638399997</v>
      </c>
      <c r="D10">
        <v>-36.443350288799998</v>
      </c>
      <c r="E10">
        <v>-40.270124555999999</v>
      </c>
      <c r="F10">
        <v>-43.206951319200002</v>
      </c>
      <c r="H10" cm="1">
        <f t="array" ref="H10">INDEX($A$1:$A$201, ROWS($A$1:$A$201) - ROW(A10)+1)</f>
        <v>25.674985490400001</v>
      </c>
      <c r="I10" cm="1">
        <f t="array" ref="I10">INDEX(B$1:B$201, ROWS(B$1:B$201) - ROW(B10)+1)</f>
        <v>32.527581271199999</v>
      </c>
      <c r="J10" cm="1">
        <f t="array" ref="J10">INDEX(C$1:C$201, ROWS(C$1:C$201) - ROW(C10)+1)</f>
        <v>39.513669177600008</v>
      </c>
      <c r="K10" cm="1">
        <f t="array" ref="K10">INDEX(D$1:D$201, ROWS(D$1:D$201) - ROW(D10)+1)</f>
        <v>46.188275457600007</v>
      </c>
      <c r="L10" cm="1">
        <f t="array" ref="L10">INDEX(E$1:E$201, ROWS(E$1:E$201) - ROW(E10)+1)</f>
        <v>51.928436858399998</v>
      </c>
      <c r="M10" cm="1">
        <f t="array" ref="M10">INDEX(F$1:F$201, ROWS(F$1:F$201) - ROW(F10)+1)</f>
        <v>57.045635006400005</v>
      </c>
      <c r="N10" s="1"/>
      <c r="O10" s="1">
        <v>-20.157310965600001</v>
      </c>
      <c r="P10">
        <v>-25.4524986144</v>
      </c>
      <c r="Q10">
        <v>-30.792183638399997</v>
      </c>
      <c r="R10">
        <v>-36.443350288799998</v>
      </c>
      <c r="S10">
        <v>-40.270124555999999</v>
      </c>
      <c r="T10">
        <v>-43.206951319200002</v>
      </c>
    </row>
    <row r="11" spans="1:21" x14ac:dyDescent="0.25">
      <c r="A11" s="1">
        <v>-20.023818840000004</v>
      </c>
      <c r="B11">
        <v>-25.141016988000004</v>
      </c>
      <c r="C11">
        <v>-30.391707261600001</v>
      </c>
      <c r="D11">
        <v>-35.864884411200002</v>
      </c>
      <c r="E11">
        <v>-39.602663928000005</v>
      </c>
      <c r="F11">
        <v>-42.672982816800008</v>
      </c>
      <c r="H11" cm="1">
        <f t="array" ref="H11">INDEX($A$1:$A$201, ROWS($A$1:$A$201) - ROW(A11)+1)</f>
        <v>25.319006488800007</v>
      </c>
      <c r="I11" cm="1">
        <f t="array" ref="I11">INDEX(B$1:B$201, ROWS(B$1:B$201) - ROW(B11)+1)</f>
        <v>31.993612768799998</v>
      </c>
      <c r="J11" cm="1">
        <f t="array" ref="J11">INDEX(C$1:C$201, ROWS(C$1:C$201) - ROW(C11)+1)</f>
        <v>39.068695425600005</v>
      </c>
      <c r="K11" cm="1">
        <f t="array" ref="K11">INDEX(D$1:D$201, ROWS(D$1:D$201) - ROW(D11)+1)</f>
        <v>45.609809580000004</v>
      </c>
      <c r="L11" cm="1">
        <f t="array" ref="L11">INDEX(E$1:E$201, ROWS(E$1:E$201) - ROW(E11)+1)</f>
        <v>51.082986729600002</v>
      </c>
      <c r="M11" cm="1">
        <f t="array" ref="M11">INDEX(F$1:F$201, ROWS(F$1:F$201) - ROW(F11)+1)</f>
        <v>56.022195376800013</v>
      </c>
      <c r="N11" s="1"/>
      <c r="O11" s="1">
        <v>-20.023818840000004</v>
      </c>
      <c r="P11">
        <v>-25.141016988000004</v>
      </c>
      <c r="Q11">
        <v>-30.391707261600001</v>
      </c>
      <c r="R11">
        <v>-35.864884411200002</v>
      </c>
      <c r="S11">
        <v>-39.602663928000005</v>
      </c>
      <c r="T11">
        <v>-42.672982816800008</v>
      </c>
    </row>
    <row r="12" spans="1:21" x14ac:dyDescent="0.25">
      <c r="A12" s="1">
        <v>-19.4898503376</v>
      </c>
      <c r="B12">
        <v>-24.47355636</v>
      </c>
      <c r="C12">
        <v>-29.991230884799997</v>
      </c>
      <c r="D12">
        <v>-35.197423783200001</v>
      </c>
      <c r="E12">
        <v>-39.157690175999996</v>
      </c>
      <c r="F12">
        <v>-41.471553686400007</v>
      </c>
      <c r="H12" cm="1">
        <f t="array" ref="H12">INDEX($A$1:$A$201, ROWS($A$1:$A$201) - ROW(A12)+1)</f>
        <v>25.052022237600006</v>
      </c>
      <c r="I12" cm="1">
        <f t="array" ref="I12">INDEX(B$1:B$201, ROWS(B$1:B$201) - ROW(B12)+1)</f>
        <v>31.637633767200001</v>
      </c>
      <c r="J12" cm="1">
        <f t="array" ref="J12">INDEX(C$1:C$201, ROWS(C$1:C$201) - ROW(C12)+1)</f>
        <v>38.490229548000002</v>
      </c>
      <c r="K12" cm="1">
        <f t="array" ref="K12">INDEX(D$1:D$201, ROWS(D$1:D$201) - ROW(D12)+1)</f>
        <v>44.408380449600003</v>
      </c>
      <c r="L12" cm="1">
        <f t="array" ref="L12">INDEX(E$1:E$201, ROWS(E$1:E$201) - ROW(E12)+1)</f>
        <v>50.237536600799999</v>
      </c>
      <c r="M12" cm="1">
        <f t="array" ref="M12">INDEX(F$1:F$201, ROWS(F$1:F$201) - ROW(F12)+1)</f>
        <v>55.132247872800001</v>
      </c>
      <c r="N12" s="1"/>
      <c r="O12" s="1">
        <v>-19.4898503376</v>
      </c>
      <c r="P12">
        <v>-24.47355636</v>
      </c>
      <c r="Q12">
        <v>-29.991230884799997</v>
      </c>
      <c r="R12">
        <v>-35.197423783200001</v>
      </c>
      <c r="S12">
        <v>-39.157690175999996</v>
      </c>
      <c r="T12">
        <v>-41.471553686400007</v>
      </c>
    </row>
    <row r="13" spans="1:21" x14ac:dyDescent="0.25">
      <c r="A13" s="1">
        <v>-19.178368711199997</v>
      </c>
      <c r="B13">
        <v>-23.939587857599999</v>
      </c>
      <c r="C13">
        <v>-29.457262382400003</v>
      </c>
      <c r="D13">
        <v>-34.529963155200001</v>
      </c>
      <c r="E13">
        <v>-38.401234797599997</v>
      </c>
      <c r="F13">
        <v>-40.804093058400007</v>
      </c>
      <c r="H13" cm="1">
        <f t="array" ref="H13">INDEX($A$1:$A$201, ROWS($A$1:$A$201) - ROW(A13)+1)</f>
        <v>24.340064234400007</v>
      </c>
      <c r="I13" cm="1">
        <f t="array" ref="I13">INDEX(B$1:B$201, ROWS(B$1:B$201) - ROW(B13)+1)</f>
        <v>30.9701731392</v>
      </c>
      <c r="J13" cm="1">
        <f t="array" ref="J13">INDEX(C$1:C$201, ROWS(C$1:C$201) - ROW(C13)+1)</f>
        <v>37.644779419200006</v>
      </c>
      <c r="K13" cm="1">
        <f t="array" ref="K13">INDEX(D$1:D$201, ROWS(D$1:D$201) - ROW(D13)+1)</f>
        <v>44.230390948800007</v>
      </c>
      <c r="L13" cm="1">
        <f t="array" ref="L13">INDEX(E$1:E$201, ROWS(E$1:E$201) - ROW(E13)+1)</f>
        <v>49.2140969712</v>
      </c>
      <c r="M13" cm="1">
        <f t="array" ref="M13">INDEX(F$1:F$201, ROWS(F$1:F$201) - ROW(F13)+1)</f>
        <v>54.153305618400012</v>
      </c>
      <c r="N13" s="1"/>
      <c r="O13" s="1">
        <v>-19.178368711199997</v>
      </c>
      <c r="P13">
        <v>-23.939587857599999</v>
      </c>
      <c r="Q13">
        <v>-29.457262382400003</v>
      </c>
      <c r="R13">
        <v>-34.529963155200001</v>
      </c>
      <c r="S13">
        <v>-38.401234797599997</v>
      </c>
      <c r="T13">
        <v>-40.804093058400007</v>
      </c>
    </row>
    <row r="14" spans="1:21" x14ac:dyDescent="0.25">
      <c r="A14" s="1">
        <v>-18.911384460000001</v>
      </c>
      <c r="B14">
        <v>-23.850593107200002</v>
      </c>
      <c r="C14">
        <v>-28.834299129600002</v>
      </c>
      <c r="D14">
        <v>-33.8625025272</v>
      </c>
      <c r="E14">
        <v>-37.867266295199997</v>
      </c>
      <c r="F14">
        <v>-40.403616681599999</v>
      </c>
      <c r="H14" cm="1">
        <f t="array" ref="H14">INDEX($A$1:$A$201, ROWS($A$1:$A$201) - ROW(A14)+1)</f>
        <v>24.073079983200003</v>
      </c>
      <c r="I14" cm="1">
        <f t="array" ref="I14">INDEX(B$1:B$201, ROWS(B$1:B$201) - ROW(B14)+1)</f>
        <v>30.258215136</v>
      </c>
      <c r="J14" cm="1">
        <f t="array" ref="J14">INDEX(C$1:C$201, ROWS(C$1:C$201) - ROW(C14)+1)</f>
        <v>36.977318791200005</v>
      </c>
      <c r="K14" cm="1">
        <f t="array" ref="K14">INDEX(D$1:D$201, ROWS(D$1:D$201) - ROW(D14)+1)</f>
        <v>42.984464443200004</v>
      </c>
      <c r="L14" cm="1">
        <f t="array" ref="L14">INDEX(E$1:E$201, ROWS(E$1:E$201) - ROW(E14)+1)</f>
        <v>48.235154716800004</v>
      </c>
      <c r="M14" cm="1">
        <f t="array" ref="M14">INDEX(F$1:F$201, ROWS(F$1:F$201) - ROW(F14)+1)</f>
        <v>52.907379112800008</v>
      </c>
      <c r="N14" s="1"/>
      <c r="O14" s="1">
        <v>-18.911384460000001</v>
      </c>
      <c r="P14">
        <v>-23.850593107200002</v>
      </c>
      <c r="Q14">
        <v>-28.834299129600002</v>
      </c>
      <c r="R14">
        <v>-33.8625025272</v>
      </c>
      <c r="S14">
        <v>-37.867266295199997</v>
      </c>
      <c r="T14">
        <v>-40.403616681599999</v>
      </c>
    </row>
    <row r="15" spans="1:21" x14ac:dyDescent="0.25">
      <c r="A15" s="1">
        <v>-18.555405458399999</v>
      </c>
      <c r="B15">
        <v>-23.405619355200002</v>
      </c>
      <c r="C15">
        <v>-28.300330627199997</v>
      </c>
      <c r="D15">
        <v>-33.328534024800007</v>
      </c>
      <c r="E15">
        <v>-37.377795168000006</v>
      </c>
      <c r="F15">
        <v>-39.42467442720001</v>
      </c>
      <c r="H15" cm="1">
        <f t="array" ref="H15">INDEX($A$1:$A$201, ROWS($A$1:$A$201) - ROW(A15)+1)</f>
        <v>23.6281062312</v>
      </c>
      <c r="I15" cm="1">
        <f t="array" ref="I15">INDEX(B$1:B$201, ROWS(B$1:B$201) - ROW(B15)+1)</f>
        <v>29.8577387592</v>
      </c>
      <c r="J15" cm="1">
        <f t="array" ref="J15">INDEX(C$1:C$201, ROWS(C$1:C$201) - ROW(C15)+1)</f>
        <v>36.176366037600005</v>
      </c>
      <c r="K15" cm="1">
        <f t="array" ref="K15">INDEX(D$1:D$201, ROWS(D$1:D$201) - ROW(D15)+1)</f>
        <v>42.228009064800005</v>
      </c>
      <c r="L15" cm="1">
        <f t="array" ref="L15">INDEX(E$1:E$201, ROWS(E$1:E$201) - ROW(E15)+1)</f>
        <v>47.701186214400003</v>
      </c>
      <c r="M15" cm="1">
        <f t="array" ref="M15">INDEX(F$1:F$201, ROWS(F$1:F$201) - ROW(F15)+1)</f>
        <v>51.038489354400006</v>
      </c>
      <c r="N15" s="1"/>
      <c r="O15" s="1">
        <v>-18.555405458399999</v>
      </c>
      <c r="P15">
        <v>-23.405619355200002</v>
      </c>
      <c r="Q15">
        <v>-28.300330627199997</v>
      </c>
      <c r="R15">
        <v>-33.328534024800007</v>
      </c>
      <c r="S15">
        <v>-37.377795168000006</v>
      </c>
      <c r="T15">
        <v>-39.42467442720001</v>
      </c>
    </row>
    <row r="16" spans="1:21" x14ac:dyDescent="0.25">
      <c r="A16" s="1">
        <v>-18.021436956000002</v>
      </c>
      <c r="B16">
        <v>-22.9606456032</v>
      </c>
      <c r="C16">
        <v>-27.9443516256</v>
      </c>
      <c r="D16">
        <v>-32.483083896000004</v>
      </c>
      <c r="E16">
        <v>-36.443350288799998</v>
      </c>
      <c r="F16">
        <v>-38.801711174400005</v>
      </c>
      <c r="H16" cm="1">
        <f t="array" ref="H16">INDEX($A$1:$A$201, ROWS($A$1:$A$201) - ROW(A16)+1)</f>
        <v>23.183132479200005</v>
      </c>
      <c r="I16" cm="1">
        <f t="array" ref="I16">INDEX(B$1:B$201, ROWS(B$1:B$201) - ROW(B16)+1)</f>
        <v>29.501759757600002</v>
      </c>
      <c r="J16" cm="1">
        <f t="array" ref="J16">INDEX(C$1:C$201, ROWS(C$1:C$201) - ROW(C16)+1)</f>
        <v>35.553402784799999</v>
      </c>
      <c r="K16" cm="1">
        <f t="array" ref="K16">INDEX(D$1:D$201, ROWS(D$1:D$201) - ROW(D16)+1)</f>
        <v>41.738537937600007</v>
      </c>
      <c r="L16" cm="1">
        <f t="array" ref="L16">INDEX(E$1:E$201, ROWS(E$1:E$201) - ROW(E16)+1)</f>
        <v>46.054783332000007</v>
      </c>
      <c r="M16" cm="1">
        <f t="array" ref="M16">INDEX(F$1:F$201, ROWS(F$1:F$201) - ROW(F16)+1)</f>
        <v>50.460023476800011</v>
      </c>
      <c r="N16" s="1"/>
      <c r="O16" s="1">
        <v>-18.021436956000002</v>
      </c>
      <c r="P16">
        <v>-22.9606456032</v>
      </c>
      <c r="Q16">
        <v>-27.9443516256</v>
      </c>
      <c r="R16">
        <v>-32.483083896000004</v>
      </c>
      <c r="S16">
        <v>-36.443350288799998</v>
      </c>
      <c r="T16">
        <v>-38.801711174400005</v>
      </c>
    </row>
    <row r="17" spans="1:20" x14ac:dyDescent="0.25">
      <c r="A17" s="1">
        <v>-17.754452704800002</v>
      </c>
      <c r="B17">
        <v>-22.604666601600002</v>
      </c>
      <c r="C17">
        <v>-27.276890997599999</v>
      </c>
      <c r="D17">
        <v>-31.904618018400001</v>
      </c>
      <c r="E17">
        <v>-36.131868662399995</v>
      </c>
      <c r="F17">
        <v>-38.134250546400004</v>
      </c>
      <c r="H17" cm="1">
        <f t="array" ref="H17">INDEX($A$1:$A$201, ROWS($A$1:$A$201) - ROW(A17)+1)</f>
        <v>22.604666601600002</v>
      </c>
      <c r="I17" cm="1">
        <f t="array" ref="I17">INDEX(B$1:B$201, ROWS(B$1:B$201) - ROW(B17)+1)</f>
        <v>28.745304379200004</v>
      </c>
      <c r="J17" cm="1">
        <f t="array" ref="J17">INDEX(C$1:C$201, ROWS(C$1:C$201) - ROW(C17)+1)</f>
        <v>34.974936907200004</v>
      </c>
      <c r="K17" cm="1">
        <f t="array" ref="K17">INDEX(D$1:D$201, ROWS(D$1:D$201) - ROW(D17)+1)</f>
        <v>40.670600932800006</v>
      </c>
      <c r="L17" cm="1">
        <f t="array" ref="L17">INDEX(E$1:E$201, ROWS(E$1:E$201) - ROW(E17)+1)</f>
        <v>45.787799080799999</v>
      </c>
      <c r="M17" cm="1">
        <f t="array" ref="M17">INDEX(F$1:F$201, ROWS(F$1:F$201) - ROW(F17)+1)</f>
        <v>49.258594346400002</v>
      </c>
      <c r="N17" s="1"/>
      <c r="O17" s="1">
        <v>-17.754452704800002</v>
      </c>
      <c r="P17">
        <v>-22.604666601600002</v>
      </c>
      <c r="Q17">
        <v>-27.276890997599999</v>
      </c>
      <c r="R17">
        <v>-31.904618018400001</v>
      </c>
      <c r="S17">
        <v>-36.131868662399995</v>
      </c>
      <c r="T17">
        <v>-38.134250546400004</v>
      </c>
    </row>
    <row r="18" spans="1:20" x14ac:dyDescent="0.25">
      <c r="A18" s="1">
        <v>-17.576463204</v>
      </c>
      <c r="B18">
        <v>-22.1151954744</v>
      </c>
      <c r="C18">
        <v>-27.098901496800003</v>
      </c>
      <c r="D18">
        <v>-31.415146891199999</v>
      </c>
      <c r="E18">
        <v>-34.885942156799999</v>
      </c>
      <c r="F18">
        <v>-37.377795168000006</v>
      </c>
      <c r="H18" cm="1">
        <f t="array" ref="H18">INDEX($A$1:$A$201, ROWS($A$1:$A$201) - ROW(A18)+1)</f>
        <v>22.293184975200006</v>
      </c>
      <c r="I18" cm="1">
        <f t="array" ref="I18">INDEX(B$1:B$201, ROWS(B$1:B$201) - ROW(B18)+1)</f>
        <v>28.166838501600001</v>
      </c>
      <c r="J18" cm="1">
        <f t="array" ref="J18">INDEX(C$1:C$201, ROWS(C$1:C$201) - ROW(C18)+1)</f>
        <v>34.262978904000001</v>
      </c>
      <c r="K18" cm="1">
        <f t="array" ref="K18">INDEX(D$1:D$201, ROWS(D$1:D$201) - ROW(D18)+1)</f>
        <v>39.825150804000003</v>
      </c>
      <c r="L18" cm="1">
        <f t="array" ref="L18">INDEX(E$1:E$201, ROWS(E$1:E$201) - ROW(E18)+1)</f>
        <v>44.4973752</v>
      </c>
      <c r="M18" cm="1">
        <f t="array" ref="M18">INDEX(F$1:F$201, ROWS(F$1:F$201) - ROW(F18)+1)</f>
        <v>48.368646842400004</v>
      </c>
      <c r="N18" s="1"/>
      <c r="O18" s="1">
        <v>-17.576463204</v>
      </c>
      <c r="P18">
        <v>-22.1151954744</v>
      </c>
      <c r="Q18">
        <v>-27.098901496800003</v>
      </c>
      <c r="R18">
        <v>-31.415146891199999</v>
      </c>
      <c r="S18">
        <v>-34.885942156799999</v>
      </c>
      <c r="T18">
        <v>-37.377795168000006</v>
      </c>
    </row>
    <row r="19" spans="1:20" x14ac:dyDescent="0.25">
      <c r="A19" s="1">
        <v>-17.220484202400002</v>
      </c>
      <c r="B19">
        <v>-21.8482112232</v>
      </c>
      <c r="C19">
        <v>-26.386943493599997</v>
      </c>
      <c r="D19">
        <v>-30.480702012000002</v>
      </c>
      <c r="E19">
        <v>-34.752450031199999</v>
      </c>
      <c r="F19">
        <v>-36.39885291360001</v>
      </c>
      <c r="H19" cm="1">
        <f t="array" ref="H19">INDEX($A$1:$A$201, ROWS($A$1:$A$201) - ROW(A19)+1)</f>
        <v>21.714719097600007</v>
      </c>
      <c r="I19" cm="1">
        <f t="array" ref="I19">INDEX(B$1:B$201, ROWS(B$1:B$201) - ROW(B19)+1)</f>
        <v>27.899854250400001</v>
      </c>
      <c r="J19" cm="1">
        <f t="array" ref="J19">INDEX(C$1:C$201, ROWS(C$1:C$201) - ROW(C19)+1)</f>
        <v>33.551020900799998</v>
      </c>
      <c r="K19" cm="1">
        <f t="array" ref="K19">INDEX(D$1:D$201, ROWS(D$1:D$201) - ROW(D19)+1)</f>
        <v>38.801711174400005</v>
      </c>
      <c r="L19" cm="1">
        <f t="array" ref="L19">INDEX(E$1:E$201, ROWS(E$1:E$201) - ROW(E19)+1)</f>
        <v>43.251448694400004</v>
      </c>
      <c r="M19" cm="1">
        <f t="array" ref="M19">INDEX(F$1:F$201, ROWS(F$1:F$201) - ROW(F19)+1)</f>
        <v>47.300709837600003</v>
      </c>
      <c r="N19" s="1"/>
      <c r="O19" s="1">
        <v>-17.220484202400002</v>
      </c>
      <c r="P19">
        <v>-21.8482112232</v>
      </c>
      <c r="Q19">
        <v>-26.386943493599997</v>
      </c>
      <c r="R19">
        <v>-30.480702012000002</v>
      </c>
      <c r="S19">
        <v>-34.752450031199999</v>
      </c>
      <c r="T19">
        <v>-36.39885291360001</v>
      </c>
    </row>
    <row r="20" spans="1:20" x14ac:dyDescent="0.25">
      <c r="A20" s="1">
        <v>-16.820007825599998</v>
      </c>
      <c r="B20">
        <v>-21.403237471200001</v>
      </c>
      <c r="C20">
        <v>-25.941969741600001</v>
      </c>
      <c r="D20">
        <v>-29.813241384000001</v>
      </c>
      <c r="E20">
        <v>-33.595518276</v>
      </c>
      <c r="F20">
        <v>-35.909381786400004</v>
      </c>
      <c r="H20" cm="1">
        <f t="array" ref="H20">INDEX($A$1:$A$201, ROWS($A$1:$A$201) - ROW(A20)+1)</f>
        <v>21.269745345600001</v>
      </c>
      <c r="I20" cm="1">
        <f t="array" ref="I20">INDEX(B$1:B$201, ROWS(B$1:B$201) - ROW(B20)+1)</f>
        <v>27.2323936224</v>
      </c>
      <c r="J20" cm="1">
        <f t="array" ref="J20">INDEX(C$1:C$201, ROWS(C$1:C$201) - ROW(C20)+1)</f>
        <v>32.972555023200002</v>
      </c>
      <c r="K20" cm="1">
        <f t="array" ref="K20">INDEX(D$1:D$201, ROWS(D$1:D$201) - ROW(D20)+1)</f>
        <v>38.134250546400004</v>
      </c>
      <c r="L20" cm="1">
        <f t="array" ref="L20">INDEX(E$1:E$201, ROWS(E$1:E$201) - ROW(E20)+1)</f>
        <v>42.361501190399999</v>
      </c>
      <c r="M20" cm="1">
        <f t="array" ref="M20">INDEX(F$1:F$201, ROWS(F$1:F$201) - ROW(F20)+1)</f>
        <v>46.099280707200009</v>
      </c>
      <c r="N20" s="1"/>
      <c r="O20" s="1">
        <v>-16.820007825599998</v>
      </c>
      <c r="P20">
        <v>-21.403237471200001</v>
      </c>
      <c r="Q20">
        <v>-25.941969741600001</v>
      </c>
      <c r="R20">
        <v>-29.813241384000001</v>
      </c>
      <c r="S20">
        <v>-33.595518276</v>
      </c>
      <c r="T20">
        <v>-35.909381786400004</v>
      </c>
    </row>
    <row r="21" spans="1:20" x14ac:dyDescent="0.25">
      <c r="A21" s="1">
        <v>-16.508526199200002</v>
      </c>
      <c r="B21">
        <v>-21.002761094399997</v>
      </c>
      <c r="C21">
        <v>-25.4524986144</v>
      </c>
      <c r="D21">
        <v>-29.368267631999998</v>
      </c>
      <c r="E21">
        <v>-32.928057647999999</v>
      </c>
      <c r="F21">
        <v>-34.885942156799999</v>
      </c>
      <c r="H21" cm="1">
        <f t="array" ref="H21">INDEX($A$1:$A$201, ROWS($A$1:$A$201) - ROW(A21)+1)</f>
        <v>20.824771593600005</v>
      </c>
      <c r="I21" cm="1">
        <f t="array" ref="I21">INDEX(B$1:B$201, ROWS(B$1:B$201) - ROW(B21)+1)</f>
        <v>26.609430369599998</v>
      </c>
      <c r="J21" cm="1">
        <f t="array" ref="J21">INDEX(C$1:C$201, ROWS(C$1:C$201) - ROW(C21)+1)</f>
        <v>32.616576021599997</v>
      </c>
      <c r="K21" cm="1">
        <f t="array" ref="K21">INDEX(D$1:D$201, ROWS(D$1:D$201) - ROW(D21)+1)</f>
        <v>37.466789918400004</v>
      </c>
      <c r="L21" cm="1">
        <f t="array" ref="L21">INDEX(E$1:E$201, ROWS(E$1:E$201) - ROW(E21)+1)</f>
        <v>41.293564185599998</v>
      </c>
      <c r="M21" cm="1">
        <f t="array" ref="M21">INDEX(F$1:F$201, ROWS(F$1:F$201) - ROW(F21)+1)</f>
        <v>44.67536470080001</v>
      </c>
      <c r="N21" s="1"/>
      <c r="O21" s="1">
        <v>-16.508526199200002</v>
      </c>
      <c r="P21">
        <v>-21.002761094399997</v>
      </c>
      <c r="Q21">
        <v>-25.4524986144</v>
      </c>
      <c r="R21">
        <v>-29.368267631999998</v>
      </c>
      <c r="S21">
        <v>-32.928057647999999</v>
      </c>
      <c r="T21">
        <v>-34.885942156799999</v>
      </c>
    </row>
    <row r="22" spans="1:20" x14ac:dyDescent="0.25">
      <c r="A22" s="1">
        <v>-16.197044572800003</v>
      </c>
      <c r="B22">
        <v>-20.557787342400001</v>
      </c>
      <c r="C22">
        <v>-24.785037986399999</v>
      </c>
      <c r="D22">
        <v>-28.834299129600005</v>
      </c>
      <c r="E22">
        <v>-32.038110144000001</v>
      </c>
      <c r="F22">
        <v>-34.1294867784</v>
      </c>
      <c r="H22" cm="1">
        <f t="array" ref="H22">INDEX($A$1:$A$201, ROWS($A$1:$A$201) - ROW(A22)+1)</f>
        <v>20.513289967200002</v>
      </c>
      <c r="I22" cm="1">
        <f t="array" ref="I22">INDEX(B$1:B$201, ROWS(B$1:B$201) - ROW(B22)+1)</f>
        <v>26.030964491999999</v>
      </c>
      <c r="J22" cm="1">
        <f t="array" ref="J22">INDEX(C$1:C$201, ROWS(C$1:C$201) - ROW(C22)+1)</f>
        <v>31.726628517600005</v>
      </c>
      <c r="K22" cm="1">
        <f t="array" ref="K22">INDEX(D$1:D$201, ROWS(D$1:D$201) - ROW(D22)+1)</f>
        <v>36.665837164800003</v>
      </c>
      <c r="L22" cm="1">
        <f t="array" ref="L22">INDEX(E$1:E$201, ROWS(E$1:E$201) - ROW(E22)+1)</f>
        <v>40.626103557599997</v>
      </c>
      <c r="M22" cm="1">
        <f t="array" ref="M22">INDEX(F$1:F$201, ROWS(F$1:F$201) - ROW(F22)+1)</f>
        <v>43.384940820000004</v>
      </c>
      <c r="N22" s="1"/>
      <c r="O22" s="1">
        <v>-16.197044572800003</v>
      </c>
      <c r="P22">
        <v>-20.557787342400001</v>
      </c>
      <c r="Q22">
        <v>-24.785037986399999</v>
      </c>
      <c r="R22">
        <v>-28.834299129600005</v>
      </c>
      <c r="S22">
        <v>-32.038110144000001</v>
      </c>
      <c r="T22">
        <v>-34.1294867784</v>
      </c>
    </row>
    <row r="23" spans="1:20" x14ac:dyDescent="0.25">
      <c r="A23" s="1">
        <v>-15.885562946399999</v>
      </c>
      <c r="B23">
        <v>-20.290803091199997</v>
      </c>
      <c r="C23">
        <v>-24.429058984800001</v>
      </c>
      <c r="D23">
        <v>-28.077843751199996</v>
      </c>
      <c r="E23">
        <v>-31.326152140800001</v>
      </c>
      <c r="F23">
        <v>-32.928057647999999</v>
      </c>
      <c r="H23" cm="1">
        <f t="array" ref="H23">INDEX($A$1:$A$201, ROWS($A$1:$A$201) - ROW(A23)+1)</f>
        <v>20.2018083408</v>
      </c>
      <c r="I23" cm="1">
        <f t="array" ref="I23">INDEX(B$1:B$201, ROWS(B$1:B$201) - ROW(B23)+1)</f>
        <v>25.674985490399997</v>
      </c>
      <c r="J23" cm="1">
        <f t="array" ref="J23">INDEX(C$1:C$201, ROWS(C$1:C$201) - ROW(C23)+1)</f>
        <v>31.281654765600003</v>
      </c>
      <c r="K23" cm="1">
        <f t="array" ref="K23">INDEX(D$1:D$201, ROWS(D$1:D$201) - ROW(D23)+1)</f>
        <v>36.131868662400002</v>
      </c>
      <c r="L23" cm="1">
        <f t="array" ref="L23">INDEX(E$1:E$201, ROWS(E$1:E$201) - ROW(E23)+1)</f>
        <v>39.424674427200003</v>
      </c>
      <c r="M23" cm="1">
        <f t="array" ref="M23">INDEX(F$1:F$201, ROWS(F$1:F$201) - ROW(F23)+1)</f>
        <v>42.450495940800003</v>
      </c>
      <c r="N23" s="1"/>
      <c r="O23" s="1">
        <v>-15.885562946399999</v>
      </c>
      <c r="P23">
        <v>-20.290803091199997</v>
      </c>
      <c r="Q23">
        <v>-24.429058984800001</v>
      </c>
      <c r="R23">
        <v>-28.077843751199996</v>
      </c>
      <c r="S23">
        <v>-31.326152140800001</v>
      </c>
      <c r="T23">
        <v>-32.928057647999999</v>
      </c>
    </row>
    <row r="24" spans="1:20" x14ac:dyDescent="0.25">
      <c r="A24" s="1">
        <v>-15.6185786952</v>
      </c>
      <c r="B24">
        <v>-19.712337213600001</v>
      </c>
      <c r="C24">
        <v>-24.073079983200003</v>
      </c>
      <c r="D24">
        <v>-27.677367374399999</v>
      </c>
      <c r="E24">
        <v>-30.347209886399998</v>
      </c>
      <c r="F24">
        <v>-32.260597020000006</v>
      </c>
      <c r="H24" cm="1">
        <f t="array" ref="H24">INDEX($A$1:$A$201, ROWS($A$1:$A$201) - ROW(A24)+1)</f>
        <v>19.578845088000001</v>
      </c>
      <c r="I24" cm="1">
        <f t="array" ref="I24">INDEX(B$1:B$201, ROWS(B$1:B$201) - ROW(B24)+1)</f>
        <v>25.141016988000001</v>
      </c>
      <c r="J24" cm="1">
        <f t="array" ref="J24">INDEX(C$1:C$201, ROWS(C$1:C$201) - ROW(C24)+1)</f>
        <v>30.703188888</v>
      </c>
      <c r="K24" cm="1">
        <f t="array" ref="K24">INDEX(D$1:D$201, ROWS(D$1:D$201) - ROW(D24)+1)</f>
        <v>35.375413284000004</v>
      </c>
      <c r="L24" cm="1">
        <f t="array" ref="L24">INDEX(E$1:E$201, ROWS(E$1:E$201) - ROW(E24)+1)</f>
        <v>38.490229548000002</v>
      </c>
      <c r="M24" cm="1">
        <f t="array" ref="M24">INDEX(F$1:F$201, ROWS(F$1:F$201) - ROW(F24)+1)</f>
        <v>41.293564185600012</v>
      </c>
      <c r="N24" s="1"/>
      <c r="O24" s="1">
        <v>-15.6185786952</v>
      </c>
      <c r="P24">
        <v>-19.712337213600001</v>
      </c>
      <c r="Q24">
        <v>-24.073079983200003</v>
      </c>
      <c r="R24">
        <v>-27.677367374399999</v>
      </c>
      <c r="S24">
        <v>-30.347209886399998</v>
      </c>
      <c r="T24">
        <v>-32.260597020000006</v>
      </c>
    </row>
    <row r="25" spans="1:20" x14ac:dyDescent="0.25">
      <c r="A25" s="1">
        <v>-15.262599693600002</v>
      </c>
      <c r="B25">
        <v>-19.445352962400001</v>
      </c>
      <c r="C25">
        <v>-23.628106231199997</v>
      </c>
      <c r="D25">
        <v>-27.187896247200001</v>
      </c>
      <c r="E25">
        <v>-29.7242466336</v>
      </c>
      <c r="F25">
        <v>-31.014670514399999</v>
      </c>
      <c r="H25" cm="1">
        <f t="array" ref="H25">INDEX($A$1:$A$201, ROWS($A$1:$A$201) - ROW(A25)+1)</f>
        <v>19.534347712800002</v>
      </c>
      <c r="I25" cm="1">
        <f t="array" ref="I25">INDEX(B$1:B$201, ROWS(B$1:B$201) - ROW(B25)+1)</f>
        <v>24.607048485599996</v>
      </c>
      <c r="J25" cm="1">
        <f t="array" ref="J25">INDEX(C$1:C$201, ROWS(C$1:C$201) - ROW(C25)+1)</f>
        <v>29.902236134400002</v>
      </c>
      <c r="K25" cm="1">
        <f t="array" ref="K25">INDEX(D$1:D$201, ROWS(D$1:D$201) - ROW(D25)+1)</f>
        <v>34.440968404800003</v>
      </c>
      <c r="L25" cm="1">
        <f t="array" ref="L25">INDEX(E$1:E$201, ROWS(E$1:E$201) - ROW(E25)+1)</f>
        <v>37.199805667199996</v>
      </c>
      <c r="M25" cm="1">
        <f t="array" ref="M25">INDEX(F$1:F$201, ROWS(F$1:F$201) - ROW(F25)+1)</f>
        <v>40.225627180800004</v>
      </c>
      <c r="N25" s="1"/>
      <c r="O25" s="1">
        <v>-15.262599693600002</v>
      </c>
      <c r="P25">
        <v>-19.445352962400001</v>
      </c>
      <c r="Q25">
        <v>-23.628106231199997</v>
      </c>
      <c r="R25">
        <v>-27.187896247200001</v>
      </c>
      <c r="S25">
        <v>-29.7242466336</v>
      </c>
      <c r="T25">
        <v>-31.014670514399999</v>
      </c>
    </row>
    <row r="26" spans="1:20" x14ac:dyDescent="0.25">
      <c r="A26" s="1">
        <v>-15.084610192800001</v>
      </c>
      <c r="B26">
        <v>-19.0893739608</v>
      </c>
      <c r="C26">
        <v>-23.049640353599997</v>
      </c>
      <c r="D26">
        <v>-26.564932994399999</v>
      </c>
      <c r="E26">
        <v>-29.012288630399997</v>
      </c>
      <c r="F26">
        <v>-30.658691512800001</v>
      </c>
      <c r="H26" cm="1">
        <f t="array" ref="H26">INDEX($A$1:$A$201, ROWS($A$1:$A$201) - ROW(A26)+1)</f>
        <v>18.777892334400004</v>
      </c>
      <c r="I26" cm="1">
        <f t="array" ref="I26">INDEX(B$1:B$201, ROWS(B$1:B$201) - ROW(B26)+1)</f>
        <v>24.162074733600001</v>
      </c>
      <c r="J26" cm="1">
        <f t="array" ref="J26">INDEX(C$1:C$201, ROWS(C$1:C$201) - ROW(C26)+1)</f>
        <v>29.368267632000006</v>
      </c>
      <c r="K26" cm="1">
        <f t="array" ref="K26">INDEX(D$1:D$201, ROWS(D$1:D$201) - ROW(D26)+1)</f>
        <v>33.551020900799998</v>
      </c>
      <c r="L26" cm="1">
        <f t="array" ref="L26">INDEX(E$1:E$201, ROWS(E$1:E$201) - ROW(E26)+1)</f>
        <v>36.532345039199996</v>
      </c>
      <c r="M26" cm="1">
        <f t="array" ref="M26">INDEX(F$1:F$201, ROWS(F$1:F$201) - ROW(F26)+1)</f>
        <v>38.890705924800002</v>
      </c>
      <c r="N26" s="1"/>
      <c r="O26" s="1">
        <v>-15.084610192800001</v>
      </c>
      <c r="P26">
        <v>-19.0893739608</v>
      </c>
      <c r="Q26">
        <v>-23.049640353599997</v>
      </c>
      <c r="R26">
        <v>-26.564932994399999</v>
      </c>
      <c r="S26">
        <v>-29.012288630399997</v>
      </c>
      <c r="T26">
        <v>-30.658691512800001</v>
      </c>
    </row>
    <row r="27" spans="1:20" x14ac:dyDescent="0.25">
      <c r="A27" s="1">
        <v>-14.728631191200002</v>
      </c>
      <c r="B27">
        <v>-18.466410708000002</v>
      </c>
      <c r="C27">
        <v>-22.916148227999997</v>
      </c>
      <c r="D27">
        <v>-26.075461867200005</v>
      </c>
      <c r="E27">
        <v>-28.255833251999999</v>
      </c>
      <c r="F27">
        <v>-29.457262382400003</v>
      </c>
      <c r="H27" cm="1">
        <f t="array" ref="H27">INDEX($A$1:$A$201, ROWS($A$1:$A$201) - ROW(A27)+1)</f>
        <v>18.421913332800003</v>
      </c>
      <c r="I27" cm="1">
        <f t="array" ref="I27">INDEX(B$1:B$201, ROWS(B$1:B$201) - ROW(B27)+1)</f>
        <v>23.539111480800003</v>
      </c>
      <c r="J27" cm="1">
        <f t="array" ref="J27">INDEX(C$1:C$201, ROWS(C$1:C$201) - ROW(C27)+1)</f>
        <v>28.789801754400006</v>
      </c>
      <c r="K27" cm="1">
        <f t="array" ref="K27">INDEX(D$1:D$201, ROWS(D$1:D$201) - ROW(D27)+1)</f>
        <v>33.106047148800002</v>
      </c>
      <c r="L27" cm="1">
        <f t="array" ref="L27">INDEX(E$1:E$201, ROWS(E$1:E$201) - ROW(E27)+1)</f>
        <v>35.597900160000002</v>
      </c>
      <c r="M27" cm="1">
        <f t="array" ref="M27">INDEX(F$1:F$201, ROWS(F$1:F$201) - ROW(F27)+1)</f>
        <v>37.733774169600004</v>
      </c>
      <c r="N27" s="1"/>
      <c r="O27" s="1">
        <v>-14.728631191200002</v>
      </c>
      <c r="P27">
        <v>-18.466410708000002</v>
      </c>
      <c r="Q27">
        <v>-22.916148227999997</v>
      </c>
      <c r="R27">
        <v>-26.075461867200005</v>
      </c>
      <c r="S27">
        <v>-28.255833251999999</v>
      </c>
      <c r="T27">
        <v>-29.457262382400003</v>
      </c>
    </row>
    <row r="28" spans="1:20" x14ac:dyDescent="0.25">
      <c r="A28" s="1">
        <v>-14.417149564800003</v>
      </c>
      <c r="B28">
        <v>-18.1104317064</v>
      </c>
      <c r="C28">
        <v>-22.159692849599999</v>
      </c>
      <c r="D28">
        <v>-25.319006488800007</v>
      </c>
      <c r="E28">
        <v>-27.899854250400001</v>
      </c>
      <c r="F28">
        <v>-28.8787965048</v>
      </c>
      <c r="H28" cm="1">
        <f t="array" ref="H28">INDEX($A$1:$A$201, ROWS($A$1:$A$201) - ROW(A28)+1)</f>
        <v>18.1104317064</v>
      </c>
      <c r="I28" cm="1">
        <f t="array" ref="I28">INDEX(B$1:B$201, ROWS(B$1:B$201) - ROW(B28)+1)</f>
        <v>22.871650852799998</v>
      </c>
      <c r="J28" cm="1">
        <f t="array" ref="J28">INDEX(C$1:C$201, ROWS(C$1:C$201) - ROW(C28)+1)</f>
        <v>28.255833252000002</v>
      </c>
      <c r="K28" cm="1">
        <f t="array" ref="K28">INDEX(D$1:D$201, ROWS(D$1:D$201) - ROW(D28)+1)</f>
        <v>32.394089145600006</v>
      </c>
      <c r="L28" cm="1">
        <f t="array" ref="L28">INDEX(E$1:E$201, ROWS(E$1:E$201) - ROW(E28)+1)</f>
        <v>34.707952656000003</v>
      </c>
      <c r="M28" cm="1">
        <f t="array" ref="M28">INDEX(F$1:F$201, ROWS(F$1:F$201) - ROW(F28)+1)</f>
        <v>36.532345039200003</v>
      </c>
      <c r="N28" s="1"/>
      <c r="O28" s="1">
        <v>-14.417149564800003</v>
      </c>
      <c r="P28">
        <v>-18.1104317064</v>
      </c>
      <c r="Q28">
        <v>-22.159692849599999</v>
      </c>
      <c r="R28">
        <v>-25.319006488800007</v>
      </c>
      <c r="S28">
        <v>-27.899854250400001</v>
      </c>
      <c r="T28">
        <v>-28.8787965048</v>
      </c>
    </row>
    <row r="29" spans="1:20" x14ac:dyDescent="0.25">
      <c r="A29" s="1">
        <v>-14.150165313600001</v>
      </c>
      <c r="B29">
        <v>-17.7099553296</v>
      </c>
      <c r="C29">
        <v>-21.625724347199998</v>
      </c>
      <c r="D29">
        <v>-25.0075248624</v>
      </c>
      <c r="E29">
        <v>-27.2323936224</v>
      </c>
      <c r="F29">
        <v>-28.166838501600001</v>
      </c>
      <c r="H29" cm="1">
        <f t="array" ref="H29">INDEX($A$1:$A$201, ROWS($A$1:$A$201) - ROW(A29)+1)</f>
        <v>17.665457954400001</v>
      </c>
      <c r="I29" cm="1">
        <f t="array" ref="I29">INDEX(B$1:B$201, ROWS(B$1:B$201) - ROW(B29)+1)</f>
        <v>22.293184975199999</v>
      </c>
      <c r="J29" cm="1">
        <f t="array" ref="J29">INDEX(C$1:C$201, ROWS(C$1:C$201) - ROW(C29)+1)</f>
        <v>27.276890997600002</v>
      </c>
      <c r="K29" cm="1">
        <f t="array" ref="K29">INDEX(D$1:D$201, ROWS(D$1:D$201) - ROW(D29)+1)</f>
        <v>31.548639016800003</v>
      </c>
      <c r="L29" cm="1">
        <f t="array" ref="L29">INDEX(E$1:E$201, ROWS(E$1:E$201) - ROW(E29)+1)</f>
        <v>33.906999902400003</v>
      </c>
      <c r="M29" cm="1">
        <f t="array" ref="M29">INDEX(F$1:F$201, ROWS(F$1:F$201) - ROW(F29)+1)</f>
        <v>35.731392285600009</v>
      </c>
      <c r="N29" s="1"/>
      <c r="O29" s="1">
        <v>-14.150165313600001</v>
      </c>
      <c r="P29">
        <v>-17.7099553296</v>
      </c>
      <c r="Q29">
        <v>-21.625724347199998</v>
      </c>
      <c r="R29">
        <v>-25.0075248624</v>
      </c>
      <c r="S29">
        <v>-27.2323936224</v>
      </c>
      <c r="T29">
        <v>-28.166838501600001</v>
      </c>
    </row>
    <row r="30" spans="1:20" x14ac:dyDescent="0.25">
      <c r="A30" s="1">
        <v>-13.8386836872</v>
      </c>
      <c r="B30">
        <v>-17.442971078399999</v>
      </c>
      <c r="C30">
        <v>-21.358740095999998</v>
      </c>
      <c r="D30">
        <v>-24.6070484856</v>
      </c>
      <c r="E30">
        <v>-26.475938244000002</v>
      </c>
      <c r="F30">
        <v>-27.2323936224</v>
      </c>
      <c r="H30" cm="1">
        <f t="array" ref="H30">INDEX($A$1:$A$201, ROWS($A$1:$A$201) - ROW(A30)+1)</f>
        <v>17.398473703200001</v>
      </c>
      <c r="I30" cm="1">
        <f t="array" ref="I30">INDEX(B$1:B$201, ROWS(B$1:B$201) - ROW(B30)+1)</f>
        <v>21.937205973599998</v>
      </c>
      <c r="J30" cm="1">
        <f t="array" ref="J30">INDEX(C$1:C$201, ROWS(C$1:C$201) - ROW(C30)+1)</f>
        <v>27.054404121600005</v>
      </c>
      <c r="K30" cm="1">
        <f t="array" ref="K30">INDEX(D$1:D$201, ROWS(D$1:D$201) - ROW(D30)+1)</f>
        <v>31.103665264800004</v>
      </c>
      <c r="L30" cm="1">
        <f t="array" ref="L30">INDEX(E$1:E$201, ROWS(E$1:E$201) - ROW(E30)+1)</f>
        <v>33.284036649599997</v>
      </c>
      <c r="M30" cm="1">
        <f t="array" ref="M30">INDEX(F$1:F$201, ROWS(F$1:F$201) - ROW(F30)+1)</f>
        <v>34.796947406400001</v>
      </c>
      <c r="N30" s="1"/>
      <c r="O30" s="1">
        <v>-13.8386836872</v>
      </c>
      <c r="P30">
        <v>-17.442971078399999</v>
      </c>
      <c r="Q30">
        <v>-21.358740095999998</v>
      </c>
      <c r="R30">
        <v>-24.6070484856</v>
      </c>
      <c r="S30">
        <v>-26.475938244000002</v>
      </c>
      <c r="T30">
        <v>-27.2323936224</v>
      </c>
    </row>
    <row r="31" spans="1:20" x14ac:dyDescent="0.25">
      <c r="A31" s="1">
        <v>-13.34921256</v>
      </c>
      <c r="B31">
        <v>-16.9979973264</v>
      </c>
      <c r="C31">
        <v>-20.780274218400002</v>
      </c>
      <c r="D31">
        <v>-24.073079983200003</v>
      </c>
      <c r="E31">
        <v>-26.075461867199998</v>
      </c>
      <c r="F31">
        <v>-26.8319172456</v>
      </c>
      <c r="H31" cm="1">
        <f t="array" ref="H31">INDEX($A$1:$A$201, ROWS($A$1:$A$201) - ROW(A31)+1)</f>
        <v>16.953499951200001</v>
      </c>
      <c r="I31" cm="1">
        <f t="array" ref="I31">INDEX(B$1:B$201, ROWS(B$1:B$201) - ROW(B31)+1)</f>
        <v>21.358740095999998</v>
      </c>
      <c r="J31" cm="1">
        <f t="array" ref="J31">INDEX(C$1:C$201, ROWS(C$1:C$201) - ROW(C31)+1)</f>
        <v>26.075461867200005</v>
      </c>
      <c r="K31" cm="1">
        <f t="array" ref="K31">INDEX(D$1:D$201, ROWS(D$1:D$201) - ROW(D31)+1)</f>
        <v>30.480702012000005</v>
      </c>
      <c r="L31" cm="1">
        <f t="array" ref="L31">INDEX(E$1:E$201, ROWS(E$1:E$201) - ROW(E31)+1)</f>
        <v>32.038110144000001</v>
      </c>
      <c r="M31" cm="1">
        <f t="array" ref="M31">INDEX(F$1:F$201, ROWS(F$1:F$201) - ROW(F31)+1)</f>
        <v>33.773507776800002</v>
      </c>
      <c r="N31" s="1"/>
      <c r="O31" s="1">
        <v>-13.34921256</v>
      </c>
      <c r="P31">
        <v>-16.9979973264</v>
      </c>
      <c r="Q31">
        <v>-20.780274218400002</v>
      </c>
      <c r="R31">
        <v>-24.073079983200003</v>
      </c>
      <c r="S31">
        <v>-26.075461867199998</v>
      </c>
      <c r="T31">
        <v>-26.8319172456</v>
      </c>
    </row>
    <row r="32" spans="1:20" x14ac:dyDescent="0.25">
      <c r="A32" s="1">
        <v>-13.037730933600002</v>
      </c>
      <c r="B32">
        <v>-16.3305366984</v>
      </c>
      <c r="C32">
        <v>-20.157310965599997</v>
      </c>
      <c r="D32">
        <v>-23.361121980000004</v>
      </c>
      <c r="E32">
        <v>-25.363503863999998</v>
      </c>
      <c r="F32">
        <v>-26.208953992800001</v>
      </c>
      <c r="H32" cm="1">
        <f t="array" ref="H32">INDEX($A$1:$A$201, ROWS($A$1:$A$201) - ROW(A32)+1)</f>
        <v>16.5975209496</v>
      </c>
      <c r="I32" cm="1">
        <f t="array" ref="I32">INDEX(B$1:B$201, ROWS(B$1:B$201) - ROW(B32)+1)</f>
        <v>20.913766343999999</v>
      </c>
      <c r="J32" cm="1">
        <f t="array" ref="J32">INDEX(C$1:C$201, ROWS(C$1:C$201) - ROW(C32)+1)</f>
        <v>25.852974991200004</v>
      </c>
      <c r="K32" cm="1">
        <f t="array" ref="K32">INDEX(D$1:D$201, ROWS(D$1:D$201) - ROW(D32)+1)</f>
        <v>29.946733509600001</v>
      </c>
      <c r="L32" cm="1">
        <f t="array" ref="L32">INDEX(E$1:E$201, ROWS(E$1:E$201) - ROW(E32)+1)</f>
        <v>31.459644266400002</v>
      </c>
      <c r="M32" cm="1">
        <f t="array" ref="M32">INDEX(F$1:F$201, ROWS(F$1:F$201) - ROW(F32)+1)</f>
        <v>32.928057648000006</v>
      </c>
      <c r="N32" s="1"/>
      <c r="O32" s="1">
        <v>-13.037730933600002</v>
      </c>
      <c r="P32">
        <v>-16.3305366984</v>
      </c>
      <c r="Q32">
        <v>-20.157310965599997</v>
      </c>
      <c r="R32">
        <v>-23.361121980000004</v>
      </c>
      <c r="S32">
        <v>-25.363503863999998</v>
      </c>
      <c r="T32">
        <v>-26.208953992800001</v>
      </c>
    </row>
    <row r="33" spans="1:20" x14ac:dyDescent="0.25">
      <c r="A33" s="1">
        <v>-12.948736183200001</v>
      </c>
      <c r="B33">
        <v>-16.197044572800003</v>
      </c>
      <c r="C33">
        <v>-19.8903267144</v>
      </c>
      <c r="D33">
        <v>-23.094137728800003</v>
      </c>
      <c r="E33">
        <v>-24.785037986399999</v>
      </c>
      <c r="F33">
        <v>-25.541493364799997</v>
      </c>
      <c r="H33" cm="1">
        <f t="array" ref="H33">INDEX($A$1:$A$201, ROWS($A$1:$A$201) - ROW(A33)+1)</f>
        <v>16.241541948000002</v>
      </c>
      <c r="I33" cm="1">
        <f t="array" ref="I33">INDEX(B$1:B$201, ROWS(B$1:B$201) - ROW(B33)+1)</f>
        <v>20.468792592</v>
      </c>
      <c r="J33" cm="1">
        <f t="array" ref="J33">INDEX(C$1:C$201, ROWS(C$1:C$201) - ROW(C33)+1)</f>
        <v>25.141016988000004</v>
      </c>
      <c r="K33" cm="1">
        <f t="array" ref="K33">INDEX(D$1:D$201, ROWS(D$1:D$201) - ROW(D33)+1)</f>
        <v>29.190278131200003</v>
      </c>
      <c r="L33" cm="1">
        <f t="array" ref="L33">INDEX(E$1:E$201, ROWS(E$1:E$201) - ROW(E33)+1)</f>
        <v>30.881178388799999</v>
      </c>
      <c r="M33" cm="1">
        <f t="array" ref="M33">INDEX(F$1:F$201, ROWS(F$1:F$201) - ROW(F33)+1)</f>
        <v>32.171602269600001</v>
      </c>
      <c r="N33" s="1"/>
      <c r="O33" s="1">
        <v>-12.948736183200001</v>
      </c>
      <c r="P33">
        <v>-16.197044572800003</v>
      </c>
      <c r="Q33">
        <v>-19.8903267144</v>
      </c>
      <c r="R33">
        <v>-23.094137728800003</v>
      </c>
      <c r="S33">
        <v>-24.785037986399999</v>
      </c>
      <c r="T33">
        <v>-25.541493364799997</v>
      </c>
    </row>
    <row r="34" spans="1:20" x14ac:dyDescent="0.25">
      <c r="A34" s="1">
        <v>-12.6372545568</v>
      </c>
      <c r="B34">
        <v>-15.796568196000001</v>
      </c>
      <c r="C34">
        <v>-19.4898503376</v>
      </c>
      <c r="D34">
        <v>-22.337682350399998</v>
      </c>
      <c r="E34">
        <v>-24.295566859200001</v>
      </c>
      <c r="F34">
        <v>-24.963027487199998</v>
      </c>
      <c r="H34" cm="1">
        <f t="array" ref="H34">INDEX($A$1:$A$201, ROWS($A$1:$A$201) - ROW(A34)+1)</f>
        <v>15.930060321600001</v>
      </c>
      <c r="I34" cm="1">
        <f t="array" ref="I34">INDEX(B$1:B$201, ROWS(B$1:B$201) - ROW(B34)+1)</f>
        <v>19.934824089599999</v>
      </c>
      <c r="J34" cm="1">
        <f t="array" ref="J34">INDEX(C$1:C$201, ROWS(C$1:C$201) - ROW(C34)+1)</f>
        <v>24.562551110400001</v>
      </c>
      <c r="K34" cm="1">
        <f t="array" ref="K34">INDEX(D$1:D$201, ROWS(D$1:D$201) - ROW(D34)+1)</f>
        <v>28.3448280024</v>
      </c>
      <c r="L34" cm="1">
        <f t="array" ref="L34">INDEX(E$1:E$201, ROWS(E$1:E$201) - ROW(E34)+1)</f>
        <v>30.436204636800003</v>
      </c>
      <c r="M34" cm="1">
        <f t="array" ref="M34">INDEX(F$1:F$201, ROWS(F$1:F$201) - ROW(F34)+1)</f>
        <v>31.593136392000002</v>
      </c>
      <c r="N34" s="1"/>
      <c r="O34" s="1">
        <v>-12.6372545568</v>
      </c>
      <c r="P34">
        <v>-15.796568196000001</v>
      </c>
      <c r="Q34">
        <v>-19.4898503376</v>
      </c>
      <c r="R34">
        <v>-22.337682350399998</v>
      </c>
      <c r="S34">
        <v>-24.295566859200001</v>
      </c>
      <c r="T34">
        <v>-24.963027487199998</v>
      </c>
    </row>
    <row r="35" spans="1:20" x14ac:dyDescent="0.25">
      <c r="A35" s="1">
        <v>-12.325772930399999</v>
      </c>
      <c r="B35">
        <v>-15.307097068800001</v>
      </c>
      <c r="C35">
        <v>-18.733394959200002</v>
      </c>
      <c r="D35">
        <v>-21.937205973599998</v>
      </c>
      <c r="E35">
        <v>-23.7615983568</v>
      </c>
      <c r="F35">
        <v>-24.518053735199999</v>
      </c>
      <c r="H35" cm="1">
        <f t="array" ref="H35">INDEX($A$1:$A$201, ROWS($A$1:$A$201) - ROW(A35)+1)</f>
        <v>15.4850865696</v>
      </c>
      <c r="I35" cm="1">
        <f t="array" ref="I35">INDEX(B$1:B$201, ROWS(B$1:B$201) - ROW(B35)+1)</f>
        <v>19.267363461600002</v>
      </c>
      <c r="J35" cm="1">
        <f t="array" ref="J35">INDEX(C$1:C$201, ROWS(C$1:C$201) - ROW(C35)+1)</f>
        <v>23.806095732000003</v>
      </c>
      <c r="K35" cm="1">
        <f t="array" ref="K35">INDEX(D$1:D$201, ROWS(D$1:D$201) - ROW(D35)+1)</f>
        <v>27.855356875200005</v>
      </c>
      <c r="L35" cm="1">
        <f t="array" ref="L35">INDEX(E$1:E$201, ROWS(E$1:E$201) - ROW(E35)+1)</f>
        <v>29.546257132800001</v>
      </c>
      <c r="M35" cm="1">
        <f t="array" ref="M35">INDEX(F$1:F$201, ROWS(F$1:F$201) - ROW(F35)+1)</f>
        <v>30.747686263199999</v>
      </c>
      <c r="N35" s="1"/>
      <c r="O35" s="1">
        <v>-12.325772930399999</v>
      </c>
      <c r="P35">
        <v>-15.307097068800001</v>
      </c>
      <c r="Q35">
        <v>-18.733394959200002</v>
      </c>
      <c r="R35">
        <v>-21.937205973599998</v>
      </c>
      <c r="S35">
        <v>-23.7615983568</v>
      </c>
      <c r="T35">
        <v>-24.518053735199999</v>
      </c>
    </row>
    <row r="36" spans="1:20" x14ac:dyDescent="0.25">
      <c r="A36" s="1">
        <v>-11.9697939288</v>
      </c>
      <c r="B36">
        <v>-15.040112817599999</v>
      </c>
      <c r="C36">
        <v>-18.555405458399999</v>
      </c>
      <c r="D36">
        <v>-21.536729596800001</v>
      </c>
      <c r="E36">
        <v>-23.183132479200001</v>
      </c>
      <c r="F36">
        <v>-23.895090482400001</v>
      </c>
      <c r="H36" cm="1">
        <f t="array" ref="H36">INDEX($A$1:$A$201, ROWS($A$1:$A$201) - ROW(A36)+1)</f>
        <v>15.173604943200001</v>
      </c>
      <c r="I36" cm="1">
        <f t="array" ref="I36">INDEX(B$1:B$201, ROWS(B$1:B$201) - ROW(B36)+1)</f>
        <v>18.866887084800002</v>
      </c>
      <c r="J36" cm="1">
        <f t="array" ref="J36">INDEX(C$1:C$201, ROWS(C$1:C$201) - ROW(C36)+1)</f>
        <v>22.9606456032</v>
      </c>
      <c r="K36" cm="1">
        <f t="array" ref="K36">INDEX(D$1:D$201, ROWS(D$1:D$201) - ROW(D36)+1)</f>
        <v>27.054404121600005</v>
      </c>
      <c r="L36" cm="1">
        <f t="array" ref="L36">INDEX(E$1:E$201, ROWS(E$1:E$201) - ROW(E36)+1)</f>
        <v>28.700807004000001</v>
      </c>
      <c r="M36" cm="1">
        <f t="array" ref="M36">INDEX(F$1:F$201, ROWS(F$1:F$201) - ROW(F36)+1)</f>
        <v>29.9912308848</v>
      </c>
      <c r="N36" s="1"/>
      <c r="O36" s="1">
        <v>-11.9697939288</v>
      </c>
      <c r="P36">
        <v>-15.040112817599999</v>
      </c>
      <c r="Q36">
        <v>-18.555405458399999</v>
      </c>
      <c r="R36">
        <v>-21.536729596800001</v>
      </c>
      <c r="S36">
        <v>-23.183132479200001</v>
      </c>
      <c r="T36">
        <v>-23.895090482400001</v>
      </c>
    </row>
    <row r="37" spans="1:20" x14ac:dyDescent="0.25">
      <c r="A37" s="1">
        <v>-11.658312302400001</v>
      </c>
      <c r="B37">
        <v>-14.6396364408</v>
      </c>
      <c r="C37">
        <v>-17.8434474552</v>
      </c>
      <c r="D37">
        <v>-20.780274218400002</v>
      </c>
      <c r="E37">
        <v>-22.738158727200002</v>
      </c>
      <c r="F37">
        <v>-23.583608856000001</v>
      </c>
      <c r="H37" cm="1">
        <f t="array" ref="H37">INDEX($A$1:$A$201, ROWS($A$1:$A$201) - ROW(A37)+1)</f>
        <v>14.951118067199999</v>
      </c>
      <c r="I37" cm="1">
        <f t="array" ref="I37">INDEX(B$1:B$201, ROWS(B$1:B$201) - ROW(B37)+1)</f>
        <v>18.688897584000003</v>
      </c>
      <c r="J37" cm="1">
        <f t="array" ref="J37">INDEX(C$1:C$201, ROWS(C$1:C$201) - ROW(C37)+1)</f>
        <v>22.2486876</v>
      </c>
      <c r="K37" cm="1">
        <f t="array" ref="K37">INDEX(D$1:D$201, ROWS(D$1:D$201) - ROW(D37)+1)</f>
        <v>26.787419870400004</v>
      </c>
      <c r="L37" cm="1">
        <f t="array" ref="L37">INDEX(E$1:E$201, ROWS(E$1:E$201) - ROW(E37)+1)</f>
        <v>28.122341126399995</v>
      </c>
      <c r="M37" cm="1">
        <f t="array" ref="M37">INDEX(F$1:F$201, ROWS(F$1:F$201) - ROW(F37)+1)</f>
        <v>29.368267631999998</v>
      </c>
      <c r="N37" s="1"/>
      <c r="O37" s="1">
        <v>-11.658312302400001</v>
      </c>
      <c r="P37">
        <v>-14.6396364408</v>
      </c>
      <c r="Q37">
        <v>-17.8434474552</v>
      </c>
      <c r="R37">
        <v>-20.780274218400002</v>
      </c>
      <c r="S37">
        <v>-22.738158727200002</v>
      </c>
      <c r="T37">
        <v>-23.583608856000001</v>
      </c>
    </row>
    <row r="38" spans="1:20" x14ac:dyDescent="0.25">
      <c r="A38" s="1">
        <v>-11.435825426399999</v>
      </c>
      <c r="B38">
        <v>-14.417149564800003</v>
      </c>
      <c r="C38">
        <v>-17.309478952800003</v>
      </c>
      <c r="D38">
        <v>-20.424295216800001</v>
      </c>
      <c r="E38">
        <v>-22.1151954744</v>
      </c>
      <c r="F38">
        <v>-22.693661352000003</v>
      </c>
      <c r="H38" cm="1">
        <f t="array" ref="H38">INDEX($A$1:$A$201, ROWS($A$1:$A$201) - ROW(A38)+1)</f>
        <v>14.506144315199998</v>
      </c>
      <c r="I38" cm="1">
        <f t="array" ref="I38">INDEX(B$1:B$201, ROWS(B$1:B$201) - ROW(B38)+1)</f>
        <v>18.110431706399996</v>
      </c>
      <c r="J38" cm="1">
        <f t="array" ref="J38">INDEX(C$1:C$201, ROWS(C$1:C$201) - ROW(C38)+1)</f>
        <v>22.026200724000002</v>
      </c>
      <c r="K38" cm="1">
        <f t="array" ref="K38">INDEX(D$1:D$201, ROWS(D$1:D$201) - ROW(D38)+1)</f>
        <v>26.030964492000006</v>
      </c>
      <c r="L38" cm="1">
        <f t="array" ref="L38">INDEX(E$1:E$201, ROWS(E$1:E$201) - ROW(E38)+1)</f>
        <v>27.410383123200003</v>
      </c>
      <c r="M38" cm="1">
        <f t="array" ref="M38">INDEX(F$1:F$201, ROWS(F$1:F$201) - ROW(F38)+1)</f>
        <v>28.522817503200002</v>
      </c>
      <c r="N38" s="1"/>
      <c r="O38" s="1">
        <v>-11.435825426399999</v>
      </c>
      <c r="P38">
        <v>-14.417149564800003</v>
      </c>
      <c r="Q38">
        <v>-17.309478952800003</v>
      </c>
      <c r="R38">
        <v>-20.424295216800001</v>
      </c>
      <c r="S38">
        <v>-22.1151954744</v>
      </c>
      <c r="T38">
        <v>-22.693661352000003</v>
      </c>
    </row>
    <row r="39" spans="1:20" x14ac:dyDescent="0.25">
      <c r="A39" s="1">
        <v>-11.168841175199999</v>
      </c>
      <c r="B39">
        <v>-14.1056679384</v>
      </c>
      <c r="C39">
        <v>-16.8645052008</v>
      </c>
      <c r="D39">
        <v>-19.845829339200002</v>
      </c>
      <c r="E39">
        <v>-21.670221722400004</v>
      </c>
      <c r="F39">
        <v>-22.204190224799998</v>
      </c>
      <c r="H39" cm="1">
        <f t="array" ref="H39">INDEX($A$1:$A$201, ROWS($A$1:$A$201) - ROW(A39)+1)</f>
        <v>14.016673188</v>
      </c>
      <c r="I39" cm="1">
        <f t="array" ref="I39">INDEX(B$1:B$201, ROWS(B$1:B$201) - ROW(B39)+1)</f>
        <v>17.8434474552</v>
      </c>
      <c r="J39" cm="1">
        <f t="array" ref="J39">INDEX(C$1:C$201, ROWS(C$1:C$201) - ROW(C39)+1)</f>
        <v>21.180750595200003</v>
      </c>
      <c r="K39" cm="1">
        <f t="array" ref="K39">INDEX(D$1:D$201, ROWS(D$1:D$201) - ROW(D39)+1)</f>
        <v>25.274509113600004</v>
      </c>
      <c r="L39" cm="1">
        <f t="array" ref="L39">INDEX(E$1:E$201, ROWS(E$1:E$201) - ROW(E39)+1)</f>
        <v>26.920911996000001</v>
      </c>
      <c r="M39" cm="1">
        <f t="array" ref="M39">INDEX(F$1:F$201, ROWS(F$1:F$201) - ROW(F39)+1)</f>
        <v>27.721864749599998</v>
      </c>
      <c r="N39" s="1"/>
      <c r="O39" s="1">
        <v>-11.168841175199999</v>
      </c>
      <c r="P39">
        <v>-14.1056679384</v>
      </c>
      <c r="Q39">
        <v>-16.8645052008</v>
      </c>
      <c r="R39">
        <v>-19.845829339200002</v>
      </c>
      <c r="S39">
        <v>-21.670221722400004</v>
      </c>
      <c r="T39">
        <v>-22.204190224799998</v>
      </c>
    </row>
    <row r="40" spans="1:20" x14ac:dyDescent="0.25">
      <c r="A40" s="1">
        <v>-10.7683647984</v>
      </c>
      <c r="B40">
        <v>-13.705191561600001</v>
      </c>
      <c r="C40">
        <v>-16.508526199200002</v>
      </c>
      <c r="D40">
        <v>-19.400855587200002</v>
      </c>
      <c r="E40">
        <v>-21.180750595199999</v>
      </c>
      <c r="F40">
        <v>-21.581226972</v>
      </c>
      <c r="H40" cm="1">
        <f t="array" ref="H40">INDEX($A$1:$A$201, ROWS($A$1:$A$201) - ROW(A40)+1)</f>
        <v>13.8386836872</v>
      </c>
      <c r="I40" cm="1">
        <f t="array" ref="I40">INDEX(B$1:B$201, ROWS(B$1:B$201) - ROW(B40)+1)</f>
        <v>17.353976328000002</v>
      </c>
      <c r="J40" cm="1">
        <f t="array" ref="J40">INDEX(C$1:C$201, ROWS(C$1:C$201) - ROW(C40)+1)</f>
        <v>20.780274218400006</v>
      </c>
      <c r="K40" cm="1">
        <f t="array" ref="K40">INDEX(D$1:D$201, ROWS(D$1:D$201) - ROW(D40)+1)</f>
        <v>24.696043236000005</v>
      </c>
      <c r="L40" cm="1">
        <f t="array" ref="L40">INDEX(E$1:E$201, ROWS(E$1:E$201) - ROW(E40)+1)</f>
        <v>25.941969741600001</v>
      </c>
      <c r="M40" cm="1">
        <f t="array" ref="M40">INDEX(F$1:F$201, ROWS(F$1:F$201) - ROW(F40)+1)</f>
        <v>27.098901496800003</v>
      </c>
      <c r="N40" s="1"/>
      <c r="O40" s="1">
        <v>-10.7683647984</v>
      </c>
      <c r="P40">
        <v>-13.705191561600001</v>
      </c>
      <c r="Q40">
        <v>-16.508526199200002</v>
      </c>
      <c r="R40">
        <v>-19.400855587200002</v>
      </c>
      <c r="S40">
        <v>-21.180750595199999</v>
      </c>
      <c r="T40">
        <v>-21.581226972</v>
      </c>
    </row>
    <row r="41" spans="1:20" x14ac:dyDescent="0.25">
      <c r="A41" s="1">
        <v>-10.545877922400001</v>
      </c>
      <c r="B41">
        <v>-13.438207310400001</v>
      </c>
      <c r="C41">
        <v>-16.019055072</v>
      </c>
      <c r="D41">
        <v>-19.044876585600001</v>
      </c>
      <c r="E41">
        <v>-20.691279467999998</v>
      </c>
      <c r="F41">
        <v>-21.002761094399997</v>
      </c>
      <c r="H41" cm="1">
        <f t="array" ref="H41">INDEX($A$1:$A$201, ROWS($A$1:$A$201) - ROW(A41)+1)</f>
        <v>13.304715184799999</v>
      </c>
      <c r="I41" cm="1">
        <f t="array" ref="I41">INDEX(B$1:B$201, ROWS(B$1:B$201) - ROW(B41)+1)</f>
        <v>16.775510450399999</v>
      </c>
      <c r="J41" cm="1">
        <f t="array" ref="J41">INDEX(C$1:C$201, ROWS(C$1:C$201) - ROW(C41)+1)</f>
        <v>20.468792592000003</v>
      </c>
      <c r="K41" cm="1">
        <f t="array" ref="K41">INDEX(D$1:D$201, ROWS(D$1:D$201) - ROW(D41)+1)</f>
        <v>23.850593107200002</v>
      </c>
      <c r="L41" cm="1">
        <f t="array" ref="L41">INDEX(E$1:E$201, ROWS(E$1:E$201) - ROW(E41)+1)</f>
        <v>25.363503863999998</v>
      </c>
      <c r="M41" cm="1">
        <f t="array" ref="M41">INDEX(F$1:F$201, ROWS(F$1:F$201) - ROW(F41)+1)</f>
        <v>26.119959242400004</v>
      </c>
      <c r="N41" s="1"/>
      <c r="O41" s="1">
        <v>-10.545877922400001</v>
      </c>
      <c r="P41">
        <v>-13.438207310400001</v>
      </c>
      <c r="Q41">
        <v>-16.019055072</v>
      </c>
      <c r="R41">
        <v>-19.044876585600001</v>
      </c>
      <c r="S41">
        <v>-20.691279467999998</v>
      </c>
      <c r="T41">
        <v>-21.002761094399997</v>
      </c>
    </row>
    <row r="42" spans="1:20" x14ac:dyDescent="0.25">
      <c r="A42" s="1">
        <v>-10.367888421600002</v>
      </c>
      <c r="B42">
        <v>-13.082228308800001</v>
      </c>
      <c r="C42">
        <v>-15.4850865696</v>
      </c>
      <c r="D42">
        <v>-18.243923832</v>
      </c>
      <c r="E42">
        <v>-20.023818840000004</v>
      </c>
      <c r="F42">
        <v>-20.691279467999998</v>
      </c>
      <c r="H42" cm="1">
        <f t="array" ref="H42">INDEX($A$1:$A$201, ROWS($A$1:$A$201) - ROW(A42)+1)</f>
        <v>12.859741432800002</v>
      </c>
      <c r="I42" cm="1">
        <f t="array" ref="I42">INDEX(B$1:B$201, ROWS(B$1:B$201) - ROW(B42)+1)</f>
        <v>16.419531448800001</v>
      </c>
      <c r="J42" cm="1">
        <f t="array" ref="J42">INDEX(C$1:C$201, ROWS(C$1:C$201) - ROW(C42)+1)</f>
        <v>19.667839838400006</v>
      </c>
      <c r="K42" cm="1">
        <f t="array" ref="K42">INDEX(D$1:D$201, ROWS(D$1:D$201) - ROW(D42)+1)</f>
        <v>23.361121980000004</v>
      </c>
      <c r="L42" cm="1">
        <f t="array" ref="L42">INDEX(E$1:E$201, ROWS(E$1:E$201) - ROW(E42)+1)</f>
        <v>24.562551110399998</v>
      </c>
      <c r="M42" cm="1">
        <f t="array" ref="M42">INDEX(F$1:F$201, ROWS(F$1:F$201) - ROW(F42)+1)</f>
        <v>25.58599074</v>
      </c>
      <c r="N42" s="1"/>
      <c r="O42" s="1">
        <v>-10.367888421600002</v>
      </c>
      <c r="P42">
        <v>-13.082228308800001</v>
      </c>
      <c r="Q42">
        <v>-15.4850865696</v>
      </c>
      <c r="R42">
        <v>-18.243923832</v>
      </c>
      <c r="S42">
        <v>-20.023818840000004</v>
      </c>
      <c r="T42">
        <v>-20.691279467999998</v>
      </c>
    </row>
    <row r="43" spans="1:20" x14ac:dyDescent="0.25">
      <c r="A43" s="1">
        <v>-9.9674120448000032</v>
      </c>
      <c r="B43">
        <v>-12.681751931999999</v>
      </c>
      <c r="C43">
        <v>-15.351594444</v>
      </c>
      <c r="D43">
        <v>-17.798950080000001</v>
      </c>
      <c r="E43">
        <v>-19.578845087999998</v>
      </c>
      <c r="F43">
        <v>-20.023818840000004</v>
      </c>
      <c r="H43" cm="1">
        <f t="array" ref="H43">INDEX($A$1:$A$201, ROWS($A$1:$A$201) - ROW(A43)+1)</f>
        <v>12.5037624312</v>
      </c>
      <c r="I43" cm="1">
        <f t="array" ref="I43">INDEX(B$1:B$201, ROWS(B$1:B$201) - ROW(B43)+1)</f>
        <v>16.019055072</v>
      </c>
      <c r="J43" cm="1">
        <f t="array" ref="J43">INDEX(C$1:C$201, ROWS(C$1:C$201) - ROW(C43)+1)</f>
        <v>19.267363461600002</v>
      </c>
      <c r="K43" cm="1">
        <f t="array" ref="K43">INDEX(D$1:D$201, ROWS(D$1:D$201) - ROW(D43)+1)</f>
        <v>22.337682350400005</v>
      </c>
      <c r="L43" cm="1">
        <f t="array" ref="L43">INDEX(E$1:E$201, ROWS(E$1:E$201) - ROW(E43)+1)</f>
        <v>23.850593107199998</v>
      </c>
      <c r="M43" cm="1">
        <f t="array" ref="M43">INDEX(F$1:F$201, ROWS(F$1:F$201) - ROW(F43)+1)</f>
        <v>24.740540611199997</v>
      </c>
      <c r="N43" s="1"/>
      <c r="O43" s="1">
        <v>-9.9674120448000032</v>
      </c>
      <c r="P43">
        <v>-12.681751931999999</v>
      </c>
      <c r="Q43">
        <v>-15.351594444</v>
      </c>
      <c r="R43">
        <v>-17.798950080000001</v>
      </c>
      <c r="S43">
        <v>-19.578845087999998</v>
      </c>
      <c r="T43">
        <v>-20.023818840000004</v>
      </c>
    </row>
    <row r="44" spans="1:20" x14ac:dyDescent="0.25">
      <c r="A44" s="1">
        <v>-9.7004277936000012</v>
      </c>
      <c r="B44">
        <v>-12.548259806400001</v>
      </c>
      <c r="C44">
        <v>-14.906620692000001</v>
      </c>
      <c r="D44">
        <v>-17.309478952800003</v>
      </c>
      <c r="E44">
        <v>-19.044876585599997</v>
      </c>
      <c r="F44">
        <v>-19.311860836800001</v>
      </c>
      <c r="H44" cm="1">
        <f t="array" ref="H44">INDEX($A$1:$A$201, ROWS($A$1:$A$201) - ROW(A44)+1)</f>
        <v>12.1477834296</v>
      </c>
      <c r="I44" cm="1">
        <f t="array" ref="I44">INDEX(B$1:B$201, ROWS(B$1:B$201) - ROW(B44)+1)</f>
        <v>15.351594444</v>
      </c>
      <c r="J44" cm="1">
        <f t="array" ref="J44">INDEX(C$1:C$201, ROWS(C$1:C$201) - ROW(C44)+1)</f>
        <v>18.733394959200005</v>
      </c>
      <c r="K44" cm="1">
        <f t="array" ref="K44">INDEX(D$1:D$201, ROWS(D$1:D$201) - ROW(D44)+1)</f>
        <v>21.759216472800002</v>
      </c>
      <c r="L44" cm="1">
        <f t="array" ref="L44">INDEX(E$1:E$201, ROWS(E$1:E$201) - ROW(E44)+1)</f>
        <v>23.183132479200001</v>
      </c>
      <c r="M44" cm="1">
        <f t="array" ref="M44">INDEX(F$1:F$201, ROWS(F$1:F$201) - ROW(F44)+1)</f>
        <v>23.895090482400001</v>
      </c>
      <c r="N44" s="1"/>
      <c r="O44" s="1">
        <v>-9.7004277936000012</v>
      </c>
      <c r="P44">
        <v>-12.548259806400001</v>
      </c>
      <c r="Q44">
        <v>-14.906620692000001</v>
      </c>
      <c r="R44">
        <v>-17.309478952800003</v>
      </c>
      <c r="S44">
        <v>-19.044876585599997</v>
      </c>
      <c r="T44">
        <v>-19.311860836800001</v>
      </c>
    </row>
    <row r="45" spans="1:20" x14ac:dyDescent="0.25">
      <c r="A45" s="1">
        <v>-9.5224382928000004</v>
      </c>
      <c r="B45">
        <v>-11.9697939288</v>
      </c>
      <c r="C45">
        <v>-14.5061443152</v>
      </c>
      <c r="D45">
        <v>-16.686515700000001</v>
      </c>
      <c r="E45">
        <v>-18.466410707999998</v>
      </c>
      <c r="F45">
        <v>-18.777892334400001</v>
      </c>
      <c r="H45" cm="1">
        <f t="array" ref="H45">INDEX($A$1:$A$201, ROWS($A$1:$A$201) - ROW(A45)+1)</f>
        <v>11.8363018032</v>
      </c>
      <c r="I45" cm="1">
        <f t="array" ref="I45">INDEX(B$1:B$201, ROWS(B$1:B$201) - ROW(B45)+1)</f>
        <v>14.995615442399998</v>
      </c>
      <c r="J45" cm="1">
        <f t="array" ref="J45">INDEX(C$1:C$201, ROWS(C$1:C$201) - ROW(C45)+1)</f>
        <v>18.154929081600002</v>
      </c>
      <c r="K45" cm="1">
        <f t="array" ref="K45">INDEX(D$1:D$201, ROWS(D$1:D$201) - ROW(D45)+1)</f>
        <v>21.358740096000005</v>
      </c>
      <c r="L45" cm="1">
        <f t="array" ref="L45">INDEX(E$1:E$201, ROWS(E$1:E$201) - ROW(E45)+1)</f>
        <v>22.382179725599997</v>
      </c>
      <c r="M45" cm="1">
        <f t="array" ref="M45">INDEX(F$1:F$201, ROWS(F$1:F$201) - ROW(F45)+1)</f>
        <v>22.8271534776</v>
      </c>
      <c r="N45" s="1"/>
      <c r="O45" s="1">
        <v>-9.5224382928000004</v>
      </c>
      <c r="P45">
        <v>-11.9697939288</v>
      </c>
      <c r="Q45">
        <v>-14.5061443152</v>
      </c>
      <c r="R45">
        <v>-16.686515700000001</v>
      </c>
      <c r="S45">
        <v>-18.466410707999998</v>
      </c>
      <c r="T45">
        <v>-18.777892334400001</v>
      </c>
    </row>
    <row r="46" spans="1:20" x14ac:dyDescent="0.25">
      <c r="A46" s="1">
        <v>-9.1219619160000001</v>
      </c>
      <c r="B46">
        <v>-11.702809677600001</v>
      </c>
      <c r="C46">
        <v>-14.150165313600001</v>
      </c>
      <c r="D46">
        <v>-16.375034073600002</v>
      </c>
      <c r="E46">
        <v>-17.798950080000001</v>
      </c>
      <c r="F46">
        <v>-18.199426456800001</v>
      </c>
      <c r="H46" cm="1">
        <f t="array" ref="H46">INDEX($A$1:$A$201, ROWS($A$1:$A$201) - ROW(A46)+1)</f>
        <v>11.6138149272</v>
      </c>
      <c r="I46" cm="1">
        <f t="array" ref="I46">INDEX(B$1:B$201, ROWS(B$1:B$201) - ROW(B46)+1)</f>
        <v>14.550641690399997</v>
      </c>
      <c r="J46" cm="1">
        <f t="array" ref="J46">INDEX(C$1:C$201, ROWS(C$1:C$201) - ROW(C46)+1)</f>
        <v>17.798950079999997</v>
      </c>
      <c r="K46" cm="1">
        <f t="array" ref="K46">INDEX(D$1:D$201, ROWS(D$1:D$201) - ROW(D46)+1)</f>
        <v>20.824771593600005</v>
      </c>
      <c r="L46" cm="1">
        <f t="array" ref="L46">INDEX(E$1:E$201, ROWS(E$1:E$201) - ROW(E46)+1)</f>
        <v>21.759216472800002</v>
      </c>
      <c r="M46" cm="1">
        <f t="array" ref="M46">INDEX(F$1:F$201, ROWS(F$1:F$201) - ROW(F46)+1)</f>
        <v>22.070698099200001</v>
      </c>
      <c r="N46" s="1"/>
      <c r="O46" s="1">
        <v>-9.1219619160000001</v>
      </c>
      <c r="P46">
        <v>-11.702809677600001</v>
      </c>
      <c r="Q46">
        <v>-14.150165313600001</v>
      </c>
      <c r="R46">
        <v>-16.375034073600002</v>
      </c>
      <c r="S46">
        <v>-17.798950080000001</v>
      </c>
      <c r="T46">
        <v>-18.199426456800001</v>
      </c>
    </row>
    <row r="47" spans="1:20" x14ac:dyDescent="0.25">
      <c r="A47" s="1">
        <v>-8.8994750400000004</v>
      </c>
      <c r="B47">
        <v>-11.302333300800001</v>
      </c>
      <c r="C47">
        <v>-13.749688936800002</v>
      </c>
      <c r="D47">
        <v>-15.796568196000001</v>
      </c>
      <c r="E47">
        <v>-17.2649815776</v>
      </c>
      <c r="F47">
        <v>-17.620960579200002</v>
      </c>
      <c r="H47" cm="1">
        <f t="array" ref="H47">INDEX($A$1:$A$201, ROWS($A$1:$A$201) - ROW(A47)+1)</f>
        <v>11.435825426399999</v>
      </c>
      <c r="I47" cm="1">
        <f t="array" ref="I47">INDEX(B$1:B$201, ROWS(B$1:B$201) - ROW(B47)+1)</f>
        <v>14.061170563199997</v>
      </c>
      <c r="J47" cm="1">
        <f t="array" ref="J47">INDEX(C$1:C$201, ROWS(C$1:C$201) - ROW(C47)+1)</f>
        <v>17.2649815776</v>
      </c>
      <c r="K47" cm="1">
        <f t="array" ref="K47">INDEX(D$1:D$201, ROWS(D$1:D$201) - ROW(D47)+1)</f>
        <v>20.068316215200003</v>
      </c>
      <c r="L47" cm="1">
        <f t="array" ref="L47">INDEX(E$1:E$201, ROWS(E$1:E$201) - ROW(E47)+1)</f>
        <v>21.314242720799999</v>
      </c>
      <c r="M47" cm="1">
        <f t="array" ref="M47">INDEX(F$1:F$201, ROWS(F$1:F$201) - ROW(F47)+1)</f>
        <v>21.581226972</v>
      </c>
      <c r="N47" s="1"/>
      <c r="O47" s="1">
        <v>-8.8994750400000004</v>
      </c>
      <c r="P47">
        <v>-11.302333300800001</v>
      </c>
      <c r="Q47">
        <v>-13.749688936800002</v>
      </c>
      <c r="R47">
        <v>-15.796568196000001</v>
      </c>
      <c r="S47">
        <v>-17.2649815776</v>
      </c>
      <c r="T47">
        <v>-17.620960579200002</v>
      </c>
    </row>
    <row r="48" spans="1:20" x14ac:dyDescent="0.25">
      <c r="A48" s="1">
        <v>-8.6324907888000002</v>
      </c>
      <c r="B48">
        <v>-10.946354299199999</v>
      </c>
      <c r="C48">
        <v>-13.438207310400001</v>
      </c>
      <c r="D48">
        <v>-15.262599693600002</v>
      </c>
      <c r="E48">
        <v>-16.8645052008</v>
      </c>
      <c r="F48">
        <v>-16.953499951200001</v>
      </c>
      <c r="H48" cm="1">
        <f t="array" ref="H48">INDEX($A$1:$A$201, ROWS($A$1:$A$201) - ROW(A48)+1)</f>
        <v>10.901856924000001</v>
      </c>
      <c r="I48" cm="1">
        <f t="array" ref="I48">INDEX(B$1:B$201, ROWS(B$1:B$201) - ROW(B48)+1)</f>
        <v>13.7496889368</v>
      </c>
      <c r="J48" cm="1">
        <f t="array" ref="J48">INDEX(C$1:C$201, ROWS(C$1:C$201) - ROW(C48)+1)</f>
        <v>16.775510450399999</v>
      </c>
      <c r="K48" cm="1">
        <f t="array" ref="K48">INDEX(D$1:D$201, ROWS(D$1:D$201) - ROW(D48)+1)</f>
        <v>19.534347712800002</v>
      </c>
      <c r="L48" cm="1">
        <f t="array" ref="L48">INDEX(E$1:E$201, ROWS(E$1:E$201) - ROW(E48)+1)</f>
        <v>20.424295216800001</v>
      </c>
      <c r="M48" cm="1">
        <f t="array" ref="M48">INDEX(F$1:F$201, ROWS(F$1:F$201) - ROW(F48)+1)</f>
        <v>20.780274218400002</v>
      </c>
      <c r="N48" s="1"/>
      <c r="O48" s="1">
        <v>-8.6324907888000002</v>
      </c>
      <c r="P48">
        <v>-10.946354299199999</v>
      </c>
      <c r="Q48">
        <v>-13.438207310400001</v>
      </c>
      <c r="R48">
        <v>-15.262599693600002</v>
      </c>
      <c r="S48">
        <v>-16.8645052008</v>
      </c>
      <c r="T48">
        <v>-16.953499951200001</v>
      </c>
    </row>
    <row r="49" spans="1:20" x14ac:dyDescent="0.25">
      <c r="A49" s="1">
        <v>-8.3655065376</v>
      </c>
      <c r="B49">
        <v>-10.6348726728</v>
      </c>
      <c r="C49">
        <v>-12.993233558400004</v>
      </c>
      <c r="D49">
        <v>-14.8621233168</v>
      </c>
      <c r="E49">
        <v>-16.286039323199997</v>
      </c>
      <c r="F49">
        <v>-16.419531448800001</v>
      </c>
      <c r="H49" cm="1">
        <f t="array" ref="H49">INDEX($A$1:$A$201, ROWS($A$1:$A$201) - ROW(A49)+1)</f>
        <v>10.545877922400001</v>
      </c>
      <c r="I49" cm="1">
        <f t="array" ref="I49">INDEX(B$1:B$201, ROWS(B$1:B$201) - ROW(B49)+1)</f>
        <v>13.2602178096</v>
      </c>
      <c r="J49" cm="1">
        <f t="array" ref="J49">INDEX(C$1:C$201, ROWS(C$1:C$201) - ROW(C49)+1)</f>
        <v>16.197044572800003</v>
      </c>
      <c r="K49" cm="1">
        <f t="array" ref="K49">INDEX(D$1:D$201, ROWS(D$1:D$201) - ROW(D49)+1)</f>
        <v>18.955881835200003</v>
      </c>
      <c r="L49" cm="1">
        <f t="array" ref="L49">INDEX(E$1:E$201, ROWS(E$1:E$201) - ROW(E49)+1)</f>
        <v>19.979321464800005</v>
      </c>
      <c r="M49" cm="1">
        <f t="array" ref="M49">INDEX(F$1:F$201, ROWS(F$1:F$201) - ROW(F49)+1)</f>
        <v>20.290803091199997</v>
      </c>
      <c r="N49" s="1"/>
      <c r="O49" s="1">
        <v>-8.3655065376</v>
      </c>
      <c r="P49">
        <v>-10.6348726728</v>
      </c>
      <c r="Q49">
        <v>-12.993233558400004</v>
      </c>
      <c r="R49">
        <v>-14.8621233168</v>
      </c>
      <c r="S49">
        <v>-16.286039323199997</v>
      </c>
      <c r="T49">
        <v>-16.419531448800001</v>
      </c>
    </row>
    <row r="50" spans="1:20" x14ac:dyDescent="0.25">
      <c r="A50" s="1">
        <v>-8.0985222864000015</v>
      </c>
      <c r="B50">
        <v>-10.234396296</v>
      </c>
      <c r="C50">
        <v>-12.592757181600001</v>
      </c>
      <c r="D50">
        <v>-14.5951390656</v>
      </c>
      <c r="E50">
        <v>-15.796568196000001</v>
      </c>
      <c r="F50">
        <v>-16.063552447200003</v>
      </c>
      <c r="H50" cm="1">
        <f t="array" ref="H50">INDEX($A$1:$A$201, ROWS($A$1:$A$201) - ROW(A50)+1)</f>
        <v>10.278893671200001</v>
      </c>
      <c r="I50" cm="1">
        <f t="array" ref="I50">INDEX(B$1:B$201, ROWS(B$1:B$201) - ROW(B50)+1)</f>
        <v>12.859741432799998</v>
      </c>
      <c r="J50" cm="1">
        <f t="array" ref="J50">INDEX(C$1:C$201, ROWS(C$1:C$201) - ROW(C50)+1)</f>
        <v>15.752070820800002</v>
      </c>
      <c r="K50" cm="1">
        <f t="array" ref="K50">INDEX(D$1:D$201, ROWS(D$1:D$201) - ROW(D50)+1)</f>
        <v>18.421913332800003</v>
      </c>
      <c r="L50" cm="1">
        <f t="array" ref="L50">INDEX(E$1:E$201, ROWS(E$1:E$201) - ROW(E50)+1)</f>
        <v>19.356358212</v>
      </c>
      <c r="M50" cm="1">
        <f t="array" ref="M50">INDEX(F$1:F$201, ROWS(F$1:F$201) - ROW(F50)+1)</f>
        <v>19.445352962400001</v>
      </c>
      <c r="N50" s="1"/>
      <c r="O50" s="1">
        <v>-8.0985222864000015</v>
      </c>
      <c r="P50">
        <v>-10.234396296</v>
      </c>
      <c r="Q50">
        <v>-12.592757181600001</v>
      </c>
      <c r="R50">
        <v>-14.5951390656</v>
      </c>
      <c r="S50">
        <v>-15.796568196000001</v>
      </c>
      <c r="T50">
        <v>-16.063552447200003</v>
      </c>
    </row>
    <row r="51" spans="1:20" x14ac:dyDescent="0.25">
      <c r="A51" s="1">
        <v>-7.8315380352000004</v>
      </c>
      <c r="B51">
        <v>-10.011909420000002</v>
      </c>
      <c r="C51">
        <v>-12.1477834296</v>
      </c>
      <c r="D51">
        <v>-14.1056679384</v>
      </c>
      <c r="E51">
        <v>-15.351594444</v>
      </c>
      <c r="F51">
        <v>-15.529583944800001</v>
      </c>
      <c r="H51" cm="1">
        <f t="array" ref="H51">INDEX($A$1:$A$201, ROWS($A$1:$A$201) - ROW(A51)+1)</f>
        <v>9.5224382928000004</v>
      </c>
      <c r="I51" cm="1">
        <f t="array" ref="I51">INDEX(B$1:B$201, ROWS(B$1:B$201) - ROW(B51)+1)</f>
        <v>12.548259806400001</v>
      </c>
      <c r="J51" cm="1">
        <f t="array" ref="J51">INDEX(C$1:C$201, ROWS(C$1:C$201) - ROW(C51)+1)</f>
        <v>15.218102318400001</v>
      </c>
      <c r="K51" cm="1">
        <f t="array" ref="K51">INDEX(D$1:D$201, ROWS(D$1:D$201) - ROW(D51)+1)</f>
        <v>17.887944830400002</v>
      </c>
      <c r="L51" cm="1">
        <f t="array" ref="L51">INDEX(E$1:E$201, ROWS(E$1:E$201) - ROW(E51)+1)</f>
        <v>18.822389709599999</v>
      </c>
      <c r="M51" cm="1">
        <f t="array" ref="M51">INDEX(F$1:F$201, ROWS(F$1:F$201) - ROW(F51)+1)</f>
        <v>18.822389709599999</v>
      </c>
      <c r="N51" s="1"/>
      <c r="O51" s="1">
        <v>-7.8315380352000004</v>
      </c>
      <c r="P51">
        <v>-10.011909420000002</v>
      </c>
      <c r="Q51">
        <v>-12.1477834296</v>
      </c>
      <c r="R51">
        <v>-14.1056679384</v>
      </c>
      <c r="S51">
        <v>-15.351594444</v>
      </c>
      <c r="T51">
        <v>-15.529583944800001</v>
      </c>
    </row>
    <row r="52" spans="1:20" x14ac:dyDescent="0.25">
      <c r="A52" s="1">
        <v>-7.6535485344000005</v>
      </c>
      <c r="B52">
        <v>-9.7449251688</v>
      </c>
      <c r="C52">
        <v>-11.702809677600003</v>
      </c>
      <c r="D52">
        <v>-13.705191561600001</v>
      </c>
      <c r="E52">
        <v>-14.906620692000001</v>
      </c>
      <c r="F52">
        <v>-14.906620692000001</v>
      </c>
      <c r="H52" cm="1">
        <f t="array" ref="H52">INDEX($A$1:$A$201, ROWS($A$1:$A$201) - ROW(A52)+1)</f>
        <v>9.5669356679999993</v>
      </c>
      <c r="I52" cm="1">
        <f t="array" ref="I52">INDEX(B$1:B$201, ROWS(B$1:B$201) - ROW(B52)+1)</f>
        <v>12.1032860544</v>
      </c>
      <c r="J52" cm="1">
        <f t="array" ref="J52">INDEX(C$1:C$201, ROWS(C$1:C$201) - ROW(C52)+1)</f>
        <v>14.817625941600001</v>
      </c>
      <c r="K52" cm="1">
        <f t="array" ref="K52">INDEX(D$1:D$201, ROWS(D$1:D$201) - ROW(D52)+1)</f>
        <v>17.2649815776</v>
      </c>
      <c r="L52" cm="1">
        <f t="array" ref="L52">INDEX(E$1:E$201, ROWS(E$1:E$201) - ROW(E52)+1)</f>
        <v>18.065934331199998</v>
      </c>
      <c r="M52" cm="1">
        <f t="array" ref="M52">INDEX(F$1:F$201, ROWS(F$1:F$201) - ROW(F52)+1)</f>
        <v>18.1104317064</v>
      </c>
      <c r="N52" s="1"/>
      <c r="O52" s="1">
        <v>-7.6535485344000005</v>
      </c>
      <c r="P52">
        <v>-9.7449251688</v>
      </c>
      <c r="Q52">
        <v>-11.702809677600003</v>
      </c>
      <c r="R52">
        <v>-13.705191561600001</v>
      </c>
      <c r="S52">
        <v>-14.906620692000001</v>
      </c>
      <c r="T52">
        <v>-14.906620692000001</v>
      </c>
    </row>
    <row r="53" spans="1:20" x14ac:dyDescent="0.25">
      <c r="A53" s="1">
        <v>-7.3865642832000002</v>
      </c>
      <c r="B53">
        <v>-9.4334435424000009</v>
      </c>
      <c r="C53">
        <v>-11.435825426400001</v>
      </c>
      <c r="D53">
        <v>-13.215720434400001</v>
      </c>
      <c r="E53">
        <v>-14.372652189600002</v>
      </c>
      <c r="F53">
        <v>-14.461646940000001</v>
      </c>
      <c r="H53" cm="1">
        <f t="array" ref="H53">INDEX($A$1:$A$201, ROWS($A$1:$A$201) - ROW(A53)+1)</f>
        <v>9.299951416799999</v>
      </c>
      <c r="I53" cm="1">
        <f t="array" ref="I53">INDEX(B$1:B$201, ROWS(B$1:B$201) - ROW(B53)+1)</f>
        <v>11.7473070528</v>
      </c>
      <c r="J53" cm="1">
        <f t="array" ref="J53">INDEX(C$1:C$201, ROWS(C$1:C$201) - ROW(C53)+1)</f>
        <v>14.328154814400001</v>
      </c>
      <c r="K53" cm="1">
        <f t="array" ref="K53">INDEX(D$1:D$201, ROWS(D$1:D$201) - ROW(D53)+1)</f>
        <v>16.5975209496</v>
      </c>
      <c r="L53" cm="1">
        <f t="array" ref="L53">INDEX(E$1:E$201, ROWS(E$1:E$201) - ROW(E53)+1)</f>
        <v>17.531965828800001</v>
      </c>
      <c r="M53" cm="1">
        <f t="array" ref="M53">INDEX(F$1:F$201, ROWS(F$1:F$201) - ROW(F53)+1)</f>
        <v>17.665457954399997</v>
      </c>
      <c r="N53" s="1"/>
      <c r="O53" s="1">
        <v>-7.3865642832000002</v>
      </c>
      <c r="P53">
        <v>-9.4334435424000009</v>
      </c>
      <c r="Q53">
        <v>-11.435825426400001</v>
      </c>
      <c r="R53">
        <v>-13.215720434400001</v>
      </c>
      <c r="S53">
        <v>-14.372652189600002</v>
      </c>
      <c r="T53">
        <v>-14.461646940000001</v>
      </c>
    </row>
    <row r="54" spans="1:20" x14ac:dyDescent="0.25">
      <c r="A54" s="1">
        <v>-7.0750826568000003</v>
      </c>
      <c r="B54">
        <v>-9.1219619160000001</v>
      </c>
      <c r="C54">
        <v>-11.035349049600001</v>
      </c>
      <c r="D54">
        <v>-12.7707466824</v>
      </c>
      <c r="E54">
        <v>-13.9721758128</v>
      </c>
      <c r="F54">
        <v>-13.838683687200003</v>
      </c>
      <c r="H54" cm="1">
        <f t="array" ref="H54">INDEX($A$1:$A$201, ROWS($A$1:$A$201) - ROW(A54)+1)</f>
        <v>9.0329671655999988</v>
      </c>
      <c r="I54" cm="1">
        <f t="array" ref="I54">INDEX(B$1:B$201, ROWS(B$1:B$201) - ROW(B54)+1)</f>
        <v>11.391328051199997</v>
      </c>
      <c r="J54" cm="1">
        <f t="array" ref="J54">INDEX(C$1:C$201, ROWS(C$1:C$201) - ROW(C54)+1)</f>
        <v>13.794186312000001</v>
      </c>
      <c r="K54" cm="1">
        <f t="array" ref="K54">INDEX(D$1:D$201, ROWS(D$1:D$201) - ROW(D54)+1)</f>
        <v>16.197044572800003</v>
      </c>
      <c r="L54" cm="1">
        <f t="array" ref="L54">INDEX(E$1:E$201, ROWS(E$1:E$201) - ROW(E54)+1)</f>
        <v>17.086992076800001</v>
      </c>
      <c r="M54" cm="1">
        <f t="array" ref="M54">INDEX(F$1:F$201, ROWS(F$1:F$201) - ROW(F54)+1)</f>
        <v>17.042494701600003</v>
      </c>
      <c r="N54" s="1"/>
      <c r="O54" s="1">
        <v>-7.0750826568000003</v>
      </c>
      <c r="P54">
        <v>-9.1219619160000001</v>
      </c>
      <c r="Q54">
        <v>-11.035349049600001</v>
      </c>
      <c r="R54">
        <v>-12.7707466824</v>
      </c>
      <c r="S54">
        <v>-13.9721758128</v>
      </c>
      <c r="T54">
        <v>-13.838683687200003</v>
      </c>
    </row>
    <row r="55" spans="1:20" x14ac:dyDescent="0.25">
      <c r="A55" s="1">
        <v>-6.8525957808000006</v>
      </c>
      <c r="B55">
        <v>-8.8549776647999998</v>
      </c>
      <c r="C55">
        <v>-10.679370048000003</v>
      </c>
      <c r="D55">
        <v>-12.325772930399999</v>
      </c>
      <c r="E55">
        <v>-13.527202060799999</v>
      </c>
      <c r="F55">
        <v>-13.482704685600002</v>
      </c>
      <c r="H55" cm="1">
        <f t="array" ref="H55">INDEX($A$1:$A$201, ROWS($A$1:$A$201) - ROW(A55)+1)</f>
        <v>8.7214855391999997</v>
      </c>
      <c r="I55" cm="1">
        <f t="array" ref="I55">INDEX(B$1:B$201, ROWS(B$1:B$201) - ROW(B55)+1)</f>
        <v>11.168841175199999</v>
      </c>
      <c r="J55" cm="1">
        <f t="array" ref="J55">INDEX(C$1:C$201, ROWS(C$1:C$201) - ROW(C55)+1)</f>
        <v>13.3937099352</v>
      </c>
      <c r="K55" cm="1">
        <f t="array" ref="K55">INDEX(D$1:D$201, ROWS(D$1:D$201) - ROW(D55)+1)</f>
        <v>15.574081320000001</v>
      </c>
      <c r="L55" cm="1">
        <f t="array" ref="L55">INDEX(E$1:E$201, ROWS(E$1:E$201) - ROW(E55)+1)</f>
        <v>16.464028824</v>
      </c>
      <c r="M55" cm="1">
        <f t="array" ref="M55">INDEX(F$1:F$201, ROWS(F$1:F$201) - ROW(F55)+1)</f>
        <v>16.108049822400002</v>
      </c>
      <c r="N55" s="1"/>
      <c r="O55" s="1">
        <v>-6.8525957808000006</v>
      </c>
      <c r="P55">
        <v>-8.8549776647999998</v>
      </c>
      <c r="Q55">
        <v>-10.679370048000003</v>
      </c>
      <c r="R55">
        <v>-12.325772930399999</v>
      </c>
      <c r="S55">
        <v>-13.527202060799999</v>
      </c>
      <c r="T55">
        <v>-13.482704685600002</v>
      </c>
    </row>
    <row r="56" spans="1:20" x14ac:dyDescent="0.25">
      <c r="A56" s="1">
        <v>-6.5856115295999995</v>
      </c>
      <c r="B56">
        <v>-8.5434960384000007</v>
      </c>
      <c r="C56">
        <v>-10.323391046400003</v>
      </c>
      <c r="D56">
        <v>-11.791804428000001</v>
      </c>
      <c r="E56">
        <v>-13.037730933599999</v>
      </c>
      <c r="F56">
        <v>-12.993233558400004</v>
      </c>
      <c r="H56" cm="1">
        <f t="array" ref="H56">INDEX($A$1:$A$201, ROWS($A$1:$A$201) - ROW(A56)+1)</f>
        <v>8.3655065376</v>
      </c>
      <c r="I56" cm="1">
        <f t="array" ref="I56">INDEX(B$1:B$201, ROWS(B$1:B$201) - ROW(B56)+1)</f>
        <v>10.634872672799998</v>
      </c>
      <c r="J56" cm="1">
        <f t="array" ref="J56">INDEX(C$1:C$201, ROWS(C$1:C$201) - ROW(C56)+1)</f>
        <v>12.9932335584</v>
      </c>
      <c r="K56" cm="1">
        <f t="array" ref="K56">INDEX(D$1:D$201, ROWS(D$1:D$201) - ROW(D56)+1)</f>
        <v>15.084610192800001</v>
      </c>
      <c r="L56" cm="1">
        <f t="array" ref="L56">INDEX(E$1:E$201, ROWS(E$1:E$201) - ROW(E56)+1)</f>
        <v>15.663076070399999</v>
      </c>
      <c r="M56" cm="1">
        <f t="array" ref="M56">INDEX(F$1:F$201, ROWS(F$1:F$201) - ROW(F56)+1)</f>
        <v>15.529583944799999</v>
      </c>
      <c r="N56" s="1"/>
      <c r="O56" s="1">
        <v>-6.5856115295999995</v>
      </c>
      <c r="P56">
        <v>-8.5434960384000007</v>
      </c>
      <c r="Q56">
        <v>-10.323391046400003</v>
      </c>
      <c r="R56">
        <v>-11.791804428000001</v>
      </c>
      <c r="S56">
        <v>-13.037730933599999</v>
      </c>
      <c r="T56">
        <v>-12.993233558400004</v>
      </c>
    </row>
    <row r="57" spans="1:20" x14ac:dyDescent="0.25">
      <c r="A57" s="1">
        <v>-6.4076220287999996</v>
      </c>
      <c r="B57">
        <v>-8.187517036800001</v>
      </c>
      <c r="C57">
        <v>-9.9674120448000032</v>
      </c>
      <c r="D57">
        <v>-11.3913280512</v>
      </c>
      <c r="E57">
        <v>-12.503762431199998</v>
      </c>
      <c r="F57">
        <v>-12.459265056000001</v>
      </c>
      <c r="H57" cm="1">
        <f t="array" ref="H57">INDEX($A$1:$A$201, ROWS($A$1:$A$201) - ROW(A57)+1)</f>
        <v>8.0985222864000015</v>
      </c>
      <c r="I57" cm="1">
        <f t="array" ref="I57">INDEX(B$1:B$201, ROWS(B$1:B$201) - ROW(B57)+1)</f>
        <v>10.189898920799997</v>
      </c>
      <c r="J57" cm="1">
        <f t="array" ref="J57">INDEX(C$1:C$201, ROWS(C$1:C$201) - ROW(C57)+1)</f>
        <v>12.548259806400001</v>
      </c>
      <c r="K57" cm="1">
        <f t="array" ref="K57">INDEX(D$1:D$201, ROWS(D$1:D$201) - ROW(D57)+1)</f>
        <v>14.550641690400001</v>
      </c>
      <c r="L57" cm="1">
        <f t="array" ref="L57">INDEX(E$1:E$201, ROWS(E$1:E$201) - ROW(E57)+1)</f>
        <v>15.0846101928</v>
      </c>
      <c r="M57" cm="1">
        <f t="array" ref="M57">INDEX(F$1:F$201, ROWS(F$1:F$201) - ROW(F57)+1)</f>
        <v>14.9956154424</v>
      </c>
      <c r="N57" s="1"/>
      <c r="O57" s="1">
        <v>-6.4076220287999996</v>
      </c>
      <c r="P57">
        <v>-8.187517036800001</v>
      </c>
      <c r="Q57">
        <v>-9.9674120448000032</v>
      </c>
      <c r="R57">
        <v>-11.3913280512</v>
      </c>
      <c r="S57">
        <v>-12.503762431199998</v>
      </c>
      <c r="T57">
        <v>-12.459265056000001</v>
      </c>
    </row>
    <row r="58" spans="1:20" x14ac:dyDescent="0.25">
      <c r="A58" s="1">
        <v>-6.1851351527999991</v>
      </c>
      <c r="B58">
        <v>-7.7870406600000006</v>
      </c>
      <c r="C58">
        <v>-9.6559304184000023</v>
      </c>
      <c r="D58">
        <v>-10.9908516744</v>
      </c>
      <c r="E58">
        <v>-12.014291303999999</v>
      </c>
      <c r="F58">
        <v>-11.969793928800001</v>
      </c>
      <c r="H58" cm="1">
        <f t="array" ref="H58">INDEX($A$1:$A$201, ROWS($A$1:$A$201) - ROW(A58)+1)</f>
        <v>7.8315380352000004</v>
      </c>
      <c r="I58" cm="1">
        <f t="array" ref="I58">INDEX(B$1:B$201, ROWS(B$1:B$201) - ROW(B58)+1)</f>
        <v>9.8339199192000013</v>
      </c>
      <c r="J58" cm="1">
        <f t="array" ref="J58">INDEX(C$1:C$201, ROWS(C$1:C$201) - ROW(C58)+1)</f>
        <v>12.103286054400002</v>
      </c>
      <c r="K58" cm="1">
        <f t="array" ref="K58">INDEX(D$1:D$201, ROWS(D$1:D$201) - ROW(D58)+1)</f>
        <v>14.1056679384</v>
      </c>
      <c r="L58" cm="1">
        <f t="array" ref="L58">INDEX(E$1:E$201, ROWS(E$1:E$201) - ROW(E58)+1)</f>
        <v>14.5951390656</v>
      </c>
      <c r="M58" cm="1">
        <f t="array" ref="M58">INDEX(F$1:F$201, ROWS(F$1:F$201) - ROW(F58)+1)</f>
        <v>14.1056679384</v>
      </c>
      <c r="N58" s="1"/>
      <c r="O58" s="1">
        <v>-6.1851351527999991</v>
      </c>
      <c r="P58">
        <v>-7.7870406600000006</v>
      </c>
      <c r="Q58">
        <v>-9.6559304184000023</v>
      </c>
      <c r="R58">
        <v>-10.9908516744</v>
      </c>
      <c r="S58">
        <v>-12.014291303999999</v>
      </c>
      <c r="T58">
        <v>-11.969793928800001</v>
      </c>
    </row>
    <row r="59" spans="1:20" x14ac:dyDescent="0.25">
      <c r="A59" s="1">
        <v>-6.0071456520000011</v>
      </c>
      <c r="B59">
        <v>-7.5645537840000001</v>
      </c>
      <c r="C59">
        <v>-9.3444487920000014</v>
      </c>
      <c r="D59">
        <v>-10.812862173600001</v>
      </c>
      <c r="E59">
        <v>-11.524820176799999</v>
      </c>
      <c r="F59">
        <v>-11.4803228016</v>
      </c>
      <c r="H59" cm="1">
        <f t="array" ref="H59">INDEX($A$1:$A$201, ROWS($A$1:$A$201) - ROW(A59)+1)</f>
        <v>7.4755590335999997</v>
      </c>
      <c r="I59" cm="1">
        <f t="array" ref="I59">INDEX(B$1:B$201, ROWS(B$1:B$201) - ROW(B59)+1)</f>
        <v>9.4779409175999998</v>
      </c>
      <c r="J59" cm="1">
        <f t="array" ref="J59">INDEX(C$1:C$201, ROWS(C$1:C$201) - ROW(C59)+1)</f>
        <v>11.791804428000001</v>
      </c>
      <c r="K59" cm="1">
        <f t="array" ref="K59">INDEX(D$1:D$201, ROWS(D$1:D$201) - ROW(D59)+1)</f>
        <v>13.6161968112</v>
      </c>
      <c r="L59" cm="1">
        <f t="array" ref="L59">INDEX(E$1:E$201, ROWS(E$1:E$201) - ROW(E59)+1)</f>
        <v>13.9721758128</v>
      </c>
      <c r="M59" cm="1">
        <f t="array" ref="M59">INDEX(F$1:F$201, ROWS(F$1:F$201) - ROW(F59)+1)</f>
        <v>13.527202060800002</v>
      </c>
      <c r="N59" s="1"/>
      <c r="O59" s="1">
        <v>-6.0071456520000011</v>
      </c>
      <c r="P59">
        <v>-7.5645537840000001</v>
      </c>
      <c r="Q59">
        <v>-9.3444487920000014</v>
      </c>
      <c r="R59">
        <v>-10.812862173600001</v>
      </c>
      <c r="S59">
        <v>-11.524820176799999</v>
      </c>
      <c r="T59">
        <v>-11.4803228016</v>
      </c>
    </row>
    <row r="60" spans="1:20" x14ac:dyDescent="0.25">
      <c r="A60" s="1">
        <v>-5.6956640256000002</v>
      </c>
      <c r="B60">
        <v>-7.2530721575999992</v>
      </c>
      <c r="C60">
        <v>-8.9884697904000017</v>
      </c>
      <c r="D60">
        <v>-10.323391046399999</v>
      </c>
      <c r="E60">
        <v>-11.1243438</v>
      </c>
      <c r="F60">
        <v>-10.857359548800003</v>
      </c>
      <c r="H60" cm="1">
        <f t="array" ref="H60">INDEX($A$1:$A$201, ROWS($A$1:$A$201) - ROW(A60)+1)</f>
        <v>7.1195800320000009</v>
      </c>
      <c r="I60" cm="1">
        <f t="array" ref="I60">INDEX(B$1:B$201, ROWS(B$1:B$201) - ROW(B60)+1)</f>
        <v>9.1219619160000001</v>
      </c>
      <c r="J60" cm="1">
        <f t="array" ref="J60">INDEX(C$1:C$201, ROWS(C$1:C$201) - ROW(C60)+1)</f>
        <v>11.213338550400001</v>
      </c>
      <c r="K60" cm="1">
        <f t="array" ref="K60">INDEX(D$1:D$201, ROWS(D$1:D$201) - ROW(D60)+1)</f>
        <v>13.037730933600002</v>
      </c>
      <c r="L60" cm="1">
        <f t="array" ref="L60">INDEX(E$1:E$201, ROWS(E$1:E$201) - ROW(E60)+1)</f>
        <v>13.571699436000001</v>
      </c>
      <c r="M60" cm="1">
        <f t="array" ref="M60">INDEX(F$1:F$201, ROWS(F$1:F$201) - ROW(F60)+1)</f>
        <v>12.859741432800002</v>
      </c>
      <c r="N60" s="1"/>
      <c r="O60" s="1">
        <v>-5.6956640256000002</v>
      </c>
      <c r="P60">
        <v>-7.2530721575999992</v>
      </c>
      <c r="Q60">
        <v>-8.9884697904000017</v>
      </c>
      <c r="R60">
        <v>-10.323391046399999</v>
      </c>
      <c r="S60">
        <v>-11.1243438</v>
      </c>
      <c r="T60">
        <v>-10.857359548800003</v>
      </c>
    </row>
    <row r="61" spans="1:20" x14ac:dyDescent="0.25">
      <c r="A61" s="1">
        <v>-5.4286797744000008</v>
      </c>
      <c r="B61">
        <v>-7.0750826568000003</v>
      </c>
      <c r="C61">
        <v>-8.6769881640000008</v>
      </c>
      <c r="D61">
        <v>-10.011909420000002</v>
      </c>
      <c r="E61">
        <v>-10.634872672799998</v>
      </c>
      <c r="F61">
        <v>-10.456883172</v>
      </c>
      <c r="H61" cm="1">
        <f t="array" ref="H61">INDEX($A$1:$A$201, ROWS($A$1:$A$201) - ROW(A61)+1)</f>
        <v>6.8970931560000004</v>
      </c>
      <c r="I61" cm="1">
        <f t="array" ref="I61">INDEX(B$1:B$201, ROWS(B$1:B$201) - ROW(B61)+1)</f>
        <v>8.7659829144000003</v>
      </c>
      <c r="J61" cm="1">
        <f t="array" ref="J61">INDEX(C$1:C$201, ROWS(C$1:C$201) - ROW(C61)+1)</f>
        <v>10.723867423200002</v>
      </c>
      <c r="K61" cm="1">
        <f t="array" ref="K61">INDEX(D$1:D$201, ROWS(D$1:D$201) - ROW(D61)+1)</f>
        <v>12.548259806400001</v>
      </c>
      <c r="L61" cm="1">
        <f t="array" ref="L61">INDEX(E$1:E$201, ROWS(E$1:E$201) - ROW(E61)+1)</f>
        <v>12.948736183199999</v>
      </c>
      <c r="M61" cm="1">
        <f t="array" ref="M61">INDEX(F$1:F$201, ROWS(F$1:F$201) - ROW(F61)+1)</f>
        <v>12.548259806400001</v>
      </c>
      <c r="N61" s="1"/>
      <c r="O61" s="1">
        <v>-5.4286797744000008</v>
      </c>
      <c r="P61">
        <v>-7.0750826568000003</v>
      </c>
      <c r="Q61">
        <v>-8.6769881640000008</v>
      </c>
      <c r="R61">
        <v>-10.011909420000002</v>
      </c>
      <c r="S61">
        <v>-10.634872672799998</v>
      </c>
      <c r="T61">
        <v>-10.456883172</v>
      </c>
    </row>
    <row r="62" spans="1:20" x14ac:dyDescent="0.25">
      <c r="A62" s="1">
        <v>-5.2061928984000003</v>
      </c>
      <c r="B62">
        <v>-6.8080984056</v>
      </c>
      <c r="C62">
        <v>-8.3210091623999993</v>
      </c>
      <c r="D62">
        <v>-9.6114330432000017</v>
      </c>
      <c r="E62">
        <v>-10.278893671199999</v>
      </c>
      <c r="F62">
        <v>-10.011909420000002</v>
      </c>
      <c r="H62" cm="1">
        <f t="array" ref="H62">INDEX($A$1:$A$201, ROWS($A$1:$A$201) - ROW(A62)+1)</f>
        <v>6.7191036552000005</v>
      </c>
      <c r="I62" cm="1">
        <f t="array" ref="I62">INDEX(B$1:B$201, ROWS(B$1:B$201) - ROW(B62)+1)</f>
        <v>8.4100039127999988</v>
      </c>
      <c r="J62" cm="1">
        <f t="array" ref="J62">INDEX(C$1:C$201, ROWS(C$1:C$201) - ROW(C62)+1)</f>
        <v>10.323391046399999</v>
      </c>
      <c r="K62" cm="1">
        <f t="array" ref="K62">INDEX(D$1:D$201, ROWS(D$1:D$201) - ROW(D62)+1)</f>
        <v>12.1477834296</v>
      </c>
      <c r="L62" cm="1">
        <f t="array" ref="L62">INDEX(E$1:E$201, ROWS(E$1:E$201) - ROW(E62)+1)</f>
        <v>12.548259806400001</v>
      </c>
      <c r="M62" cm="1">
        <f t="array" ref="M62">INDEX(F$1:F$201, ROWS(F$1:F$201) - ROW(F62)+1)</f>
        <v>11.9697939288</v>
      </c>
      <c r="N62" s="1"/>
      <c r="O62" s="1">
        <v>-5.2061928984000003</v>
      </c>
      <c r="P62">
        <v>-6.8080984056</v>
      </c>
      <c r="Q62">
        <v>-8.3210091623999993</v>
      </c>
      <c r="R62">
        <v>-9.6114330432000017</v>
      </c>
      <c r="S62">
        <v>-10.278893671199999</v>
      </c>
      <c r="T62">
        <v>-10.011909420000002</v>
      </c>
    </row>
    <row r="63" spans="1:20" x14ac:dyDescent="0.25">
      <c r="A63" s="1">
        <v>-5.0282033975999996</v>
      </c>
      <c r="B63">
        <v>-6.4521194040000003</v>
      </c>
      <c r="C63">
        <v>-7.9205327855999998</v>
      </c>
      <c r="D63">
        <v>-9.2554540416000002</v>
      </c>
      <c r="E63">
        <v>-9.9229146696000008</v>
      </c>
      <c r="F63">
        <v>-9.7004277936000012</v>
      </c>
      <c r="H63" cm="1">
        <f t="array" ref="H63">INDEX($A$1:$A$201, ROWS($A$1:$A$201) - ROW(A63)+1)</f>
        <v>6.2741299032000004</v>
      </c>
      <c r="I63" cm="1">
        <f t="array" ref="I63">INDEX(B$1:B$201, ROWS(B$1:B$201) - ROW(B63)+1)</f>
        <v>8.1430196616000003</v>
      </c>
      <c r="J63" cm="1">
        <f t="array" ref="J63">INDEX(C$1:C$201, ROWS(C$1:C$201) - ROW(C63)+1)</f>
        <v>9.7894225440000007</v>
      </c>
      <c r="K63" cm="1">
        <f t="array" ref="K63">INDEX(D$1:D$201, ROWS(D$1:D$201) - ROW(D63)+1)</f>
        <v>11.6138149272</v>
      </c>
      <c r="L63" cm="1">
        <f t="array" ref="L63">INDEX(E$1:E$201, ROWS(E$1:E$201) - ROW(E63)+1)</f>
        <v>12.014291303999999</v>
      </c>
      <c r="M63" cm="1">
        <f t="array" ref="M63">INDEX(F$1:F$201, ROWS(F$1:F$201) - ROW(F63)+1)</f>
        <v>11.4803228016</v>
      </c>
      <c r="N63" s="1"/>
      <c r="O63" s="1">
        <v>-5.0282033975999996</v>
      </c>
      <c r="P63">
        <v>-6.4521194040000003</v>
      </c>
      <c r="Q63">
        <v>-7.9205327855999998</v>
      </c>
      <c r="R63">
        <v>-9.2554540416000002</v>
      </c>
      <c r="S63">
        <v>-9.9229146696000008</v>
      </c>
      <c r="T63">
        <v>-9.7004277936000012</v>
      </c>
    </row>
    <row r="64" spans="1:20" x14ac:dyDescent="0.25">
      <c r="A64" s="1">
        <v>-4.7612191464000002</v>
      </c>
      <c r="B64">
        <v>-6.2741299032000004</v>
      </c>
      <c r="C64">
        <v>-7.5200564087999995</v>
      </c>
      <c r="D64">
        <v>-8.8549776647999998</v>
      </c>
      <c r="E64">
        <v>-9.5224382927999986</v>
      </c>
      <c r="F64">
        <v>-9.2554540416000002</v>
      </c>
      <c r="H64" cm="1">
        <f t="array" ref="H64">INDEX($A$1:$A$201, ROWS($A$1:$A$201) - ROW(A64)+1)</f>
        <v>5.9626482768000004</v>
      </c>
      <c r="I64" cm="1">
        <f t="array" ref="I64">INDEX(B$1:B$201, ROWS(B$1:B$201) - ROW(B64)+1)</f>
        <v>7.7425432848</v>
      </c>
      <c r="J64" cm="1">
        <f t="array" ref="J64">INDEX(C$1:C$201, ROWS(C$1:C$201) - ROW(C64)+1)</f>
        <v>9.4779409175999998</v>
      </c>
      <c r="K64" cm="1">
        <f t="array" ref="K64">INDEX(D$1:D$201, ROWS(D$1:D$201) - ROW(D64)+1)</f>
        <v>11.213338550400001</v>
      </c>
      <c r="L64" cm="1">
        <f t="array" ref="L64">INDEX(E$1:E$201, ROWS(E$1:E$201) - ROW(E64)+1)</f>
        <v>11.569317551999999</v>
      </c>
      <c r="M64" cm="1">
        <f t="array" ref="M64">INDEX(F$1:F$201, ROWS(F$1:F$201) - ROW(F64)+1)</f>
        <v>10.990851674399998</v>
      </c>
      <c r="N64" s="1"/>
      <c r="O64" s="1">
        <v>-4.7612191464000002</v>
      </c>
      <c r="P64">
        <v>-6.2741299032000004</v>
      </c>
      <c r="Q64">
        <v>-7.5200564087999995</v>
      </c>
      <c r="R64">
        <v>-8.8549776647999998</v>
      </c>
      <c r="S64">
        <v>-9.5224382927999986</v>
      </c>
      <c r="T64">
        <v>-9.2554540416000002</v>
      </c>
    </row>
    <row r="65" spans="1:20" x14ac:dyDescent="0.25">
      <c r="A65" s="1">
        <v>-4.5832296456000003</v>
      </c>
      <c r="B65">
        <v>-5.9181509015999998</v>
      </c>
      <c r="C65">
        <v>-7.2530721575999992</v>
      </c>
      <c r="D65">
        <v>-8.5434960384000007</v>
      </c>
      <c r="E65">
        <v>-9.1664592911999989</v>
      </c>
      <c r="F65">
        <v>-8.8994750399999987</v>
      </c>
      <c r="H65" cm="1">
        <f t="array" ref="H65">INDEX($A$1:$A$201, ROWS($A$1:$A$201) - ROW(A65)+1)</f>
        <v>5.6956640256000002</v>
      </c>
      <c r="I65" cm="1">
        <f t="array" ref="I65">INDEX(B$1:B$201, ROWS(B$1:B$201) - ROW(B65)+1)</f>
        <v>7.4310616584</v>
      </c>
      <c r="J65" cm="1">
        <f t="array" ref="J65">INDEX(C$1:C$201, ROWS(C$1:C$201) - ROW(C65)+1)</f>
        <v>9.0329671655999988</v>
      </c>
      <c r="K65" cm="1">
        <f t="array" ref="K65">INDEX(D$1:D$201, ROWS(D$1:D$201) - ROW(D65)+1)</f>
        <v>10.7683647984</v>
      </c>
      <c r="L65" cm="1">
        <f t="array" ref="L65">INDEX(E$1:E$201, ROWS(E$1:E$201) - ROW(E65)+1)</f>
        <v>11.1243438</v>
      </c>
      <c r="M65" cm="1">
        <f t="array" ref="M65">INDEX(F$1:F$201, ROWS(F$1:F$201) - ROW(F65)+1)</f>
        <v>10.412385796800001</v>
      </c>
      <c r="N65" s="1"/>
      <c r="O65" s="1">
        <v>-4.5832296456000003</v>
      </c>
      <c r="P65">
        <v>-5.9181509015999998</v>
      </c>
      <c r="Q65">
        <v>-7.2530721575999992</v>
      </c>
      <c r="R65">
        <v>-8.5434960384000007</v>
      </c>
      <c r="S65">
        <v>-9.1664592911999989</v>
      </c>
      <c r="T65">
        <v>-8.8994750399999987</v>
      </c>
    </row>
    <row r="66" spans="1:20" x14ac:dyDescent="0.25">
      <c r="A66" s="1">
        <v>-4.3607427695999998</v>
      </c>
      <c r="B66">
        <v>-5.6066692752000007</v>
      </c>
      <c r="C66">
        <v>-6.8970931560000004</v>
      </c>
      <c r="D66">
        <v>-8.0540249112000009</v>
      </c>
      <c r="E66">
        <v>-8.7659829144000003</v>
      </c>
      <c r="F66">
        <v>-8.5879934135999996</v>
      </c>
      <c r="H66" cm="1">
        <f t="array" ref="H66">INDEX($A$1:$A$201, ROWS($A$1:$A$201) - ROW(A66)+1)</f>
        <v>5.3841823992000002</v>
      </c>
      <c r="I66" cm="1">
        <f t="array" ref="I66">INDEX(B$1:B$201, ROWS(B$1:B$201) - ROW(B66)+1)</f>
        <v>6.9860879064000008</v>
      </c>
      <c r="J66" cm="1">
        <f t="array" ref="J66">INDEX(C$1:C$201, ROWS(C$1:C$201) - ROW(C66)+1)</f>
        <v>8.7214855391999997</v>
      </c>
      <c r="K66" cm="1">
        <f t="array" ref="K66">INDEX(D$1:D$201, ROWS(D$1:D$201) - ROW(D66)+1)</f>
        <v>10.145401545599999</v>
      </c>
      <c r="L66" cm="1">
        <f t="array" ref="L66">INDEX(E$1:E$201, ROWS(E$1:E$201) - ROW(E66)+1)</f>
        <v>10.545877922399999</v>
      </c>
      <c r="M66" cm="1">
        <f t="array" ref="M66">INDEX(F$1:F$201, ROWS(F$1:F$201) - ROW(F66)+1)</f>
        <v>10.011909420000002</v>
      </c>
      <c r="N66" s="1"/>
      <c r="O66" s="1">
        <v>-4.3607427695999998</v>
      </c>
      <c r="P66">
        <v>-5.6066692752000007</v>
      </c>
      <c r="Q66">
        <v>-6.8970931560000004</v>
      </c>
      <c r="R66">
        <v>-8.0540249112000009</v>
      </c>
      <c r="S66">
        <v>-8.7659829144000003</v>
      </c>
      <c r="T66">
        <v>-8.5879934135999996</v>
      </c>
    </row>
    <row r="67" spans="1:20" x14ac:dyDescent="0.25">
      <c r="A67" s="1">
        <v>-4.1382558936000002</v>
      </c>
      <c r="B67">
        <v>-5.3396850239999996</v>
      </c>
      <c r="C67">
        <v>-6.6746062799999999</v>
      </c>
      <c r="D67">
        <v>-7.6980459095999993</v>
      </c>
      <c r="E67">
        <v>-8.4100039127999988</v>
      </c>
      <c r="F67">
        <v>-8.1430196616000003</v>
      </c>
      <c r="H67" cm="1">
        <f t="array" ref="H67">INDEX($A$1:$A$201, ROWS($A$1:$A$201) - ROW(A67)+1)</f>
        <v>5.1171981479999999</v>
      </c>
      <c r="I67" cm="1">
        <f t="array" ref="I67">INDEX(B$1:B$201, ROWS(B$1:B$201) - ROW(B67)+1)</f>
        <v>6.7191036552000005</v>
      </c>
      <c r="J67" cm="1">
        <f t="array" ref="J67">INDEX(C$1:C$201, ROWS(C$1:C$201) - ROW(C67)+1)</f>
        <v>8.3210091623999993</v>
      </c>
      <c r="K67" cm="1">
        <f t="array" ref="K67">INDEX(D$1:D$201, ROWS(D$1:D$201) - ROW(D67)+1)</f>
        <v>9.7449251688</v>
      </c>
      <c r="L67" cm="1">
        <f t="array" ref="L67">INDEX(E$1:E$201, ROWS(E$1:E$201) - ROW(E67)+1)</f>
        <v>9.9674120447999996</v>
      </c>
      <c r="M67" cm="1">
        <f t="array" ref="M67">INDEX(F$1:F$201, ROWS(F$1:F$201) - ROW(F67)+1)</f>
        <v>9.5669356679999993</v>
      </c>
      <c r="N67" s="1"/>
      <c r="O67" s="1">
        <v>-4.1382558936000002</v>
      </c>
      <c r="P67">
        <v>-5.3396850239999996</v>
      </c>
      <c r="Q67">
        <v>-6.6746062799999999</v>
      </c>
      <c r="R67">
        <v>-7.6980459095999993</v>
      </c>
      <c r="S67">
        <v>-8.4100039127999988</v>
      </c>
      <c r="T67">
        <v>-8.1430196616000003</v>
      </c>
    </row>
    <row r="68" spans="1:20" x14ac:dyDescent="0.25">
      <c r="A68" s="1">
        <v>-3.9157690176000002</v>
      </c>
      <c r="B68">
        <v>-5.0727007727999993</v>
      </c>
      <c r="C68">
        <v>-6.3631246535999999</v>
      </c>
      <c r="D68">
        <v>-7.2975695327999999</v>
      </c>
      <c r="E68">
        <v>-7.9650301608000005</v>
      </c>
      <c r="F68">
        <v>-7.6535485344000005</v>
      </c>
      <c r="H68" cm="1">
        <f t="array" ref="H68">INDEX($A$1:$A$201, ROWS($A$1:$A$201) - ROW(A68)+1)</f>
        <v>4.8502138968000006</v>
      </c>
      <c r="I68" cm="1">
        <f t="array" ref="I68">INDEX(B$1:B$201, ROWS(B$1:B$201) - ROW(B68)+1)</f>
        <v>6.4076220287999996</v>
      </c>
      <c r="J68" cm="1">
        <f t="array" ref="J68">INDEX(C$1:C$201, ROWS(C$1:C$201) - ROW(C68)+1)</f>
        <v>8.0985222864000015</v>
      </c>
      <c r="K68" cm="1">
        <f t="array" ref="K68">INDEX(D$1:D$201, ROWS(D$1:D$201) - ROW(D68)+1)</f>
        <v>9.299951416799999</v>
      </c>
      <c r="L68" cm="1">
        <f t="array" ref="L68">INDEX(E$1:E$201, ROWS(E$1:E$201) - ROW(E68)+1)</f>
        <v>9.4779409175999998</v>
      </c>
      <c r="M68" cm="1">
        <f t="array" ref="M68">INDEX(F$1:F$201, ROWS(F$1:F$201) - ROW(F68)+1)</f>
        <v>9.1664592912000007</v>
      </c>
      <c r="N68" s="1"/>
      <c r="O68" s="1">
        <v>-3.9157690176000002</v>
      </c>
      <c r="P68">
        <v>-5.0727007727999993</v>
      </c>
      <c r="Q68">
        <v>-6.3631246535999999</v>
      </c>
      <c r="R68">
        <v>-7.2975695327999999</v>
      </c>
      <c r="S68">
        <v>-7.9650301608000005</v>
      </c>
      <c r="T68">
        <v>-7.6535485344000005</v>
      </c>
    </row>
    <row r="69" spans="1:20" x14ac:dyDescent="0.25">
      <c r="A69" s="1">
        <v>-3.7377795167999999</v>
      </c>
      <c r="B69">
        <v>-4.8502138968000006</v>
      </c>
      <c r="C69">
        <v>-6.0961404024000005</v>
      </c>
      <c r="D69">
        <v>-7.0305852816000005</v>
      </c>
      <c r="E69">
        <v>-7.5645537840000001</v>
      </c>
      <c r="F69">
        <v>-7.3865642832000002</v>
      </c>
      <c r="H69" cm="1">
        <f t="array" ref="H69">INDEX($A$1:$A$201, ROWS($A$1:$A$201) - ROW(A69)+1)</f>
        <v>4.5832296456000003</v>
      </c>
      <c r="I69" cm="1">
        <f t="array" ref="I69">INDEX(B$1:B$201, ROWS(B$1:B$201) - ROW(B69)+1)</f>
        <v>6.1406377776000003</v>
      </c>
      <c r="J69" cm="1">
        <f t="array" ref="J69">INDEX(C$1:C$201, ROWS(C$1:C$201) - ROW(C69)+1)</f>
        <v>7.5200564087999995</v>
      </c>
      <c r="K69" cm="1">
        <f t="array" ref="K69">INDEX(D$1:D$201, ROWS(D$1:D$201) - ROW(D69)+1)</f>
        <v>8.8994750400000004</v>
      </c>
      <c r="L69" cm="1">
        <f t="array" ref="L69">INDEX(E$1:E$201, ROWS(E$1:E$201) - ROW(E69)+1)</f>
        <v>8.9884697903999982</v>
      </c>
      <c r="M69" cm="1">
        <f t="array" ref="M69">INDEX(F$1:F$201, ROWS(F$1:F$201) - ROW(F69)+1)</f>
        <v>8.7214855391999997</v>
      </c>
      <c r="N69" s="1"/>
      <c r="O69" s="1">
        <v>-3.7377795167999999</v>
      </c>
      <c r="P69">
        <v>-4.8502138968000006</v>
      </c>
      <c r="Q69">
        <v>-6.0961404024000005</v>
      </c>
      <c r="R69">
        <v>-7.0305852816000005</v>
      </c>
      <c r="S69">
        <v>-7.5645537840000001</v>
      </c>
      <c r="T69">
        <v>-7.3865642832000002</v>
      </c>
    </row>
    <row r="70" spans="1:20" x14ac:dyDescent="0.25">
      <c r="A70" s="1">
        <v>-3.4707952656000005</v>
      </c>
      <c r="B70">
        <v>-4.6277270208000001</v>
      </c>
      <c r="C70">
        <v>-5.7401614007999999</v>
      </c>
      <c r="D70">
        <v>-6.6746062799999999</v>
      </c>
      <c r="E70">
        <v>-7.2530721576000001</v>
      </c>
      <c r="F70">
        <v>-7.0305852816000005</v>
      </c>
      <c r="H70" cm="1">
        <f t="array" ref="H70">INDEX($A$1:$A$201, ROWS($A$1:$A$201) - ROW(A70)+1)</f>
        <v>4.3607427695999998</v>
      </c>
      <c r="I70" cm="1">
        <f t="array" ref="I70">INDEX(B$1:B$201, ROWS(B$1:B$201) - ROW(B70)+1)</f>
        <v>5.7846587760000006</v>
      </c>
      <c r="J70" cm="1">
        <f t="array" ref="J70">INDEX(C$1:C$201, ROWS(C$1:C$201) - ROW(C70)+1)</f>
        <v>7.1195800320000009</v>
      </c>
      <c r="K70" cm="1">
        <f t="array" ref="K70">INDEX(D$1:D$201, ROWS(D$1:D$201) - ROW(D70)+1)</f>
        <v>8.5434960384000007</v>
      </c>
      <c r="L70" cm="1">
        <f t="array" ref="L70">INDEX(E$1:E$201, ROWS(E$1:E$201) - ROW(E70)+1)</f>
        <v>8.6324907888000002</v>
      </c>
      <c r="M70" cm="1">
        <f t="array" ref="M70">INDEX(F$1:F$201, ROWS(F$1:F$201) - ROW(F70)+1)</f>
        <v>8.4545012879999994</v>
      </c>
      <c r="N70" s="1"/>
      <c r="O70" s="1">
        <v>-3.4707952656000005</v>
      </c>
      <c r="P70">
        <v>-4.6277270208000001</v>
      </c>
      <c r="Q70">
        <v>-5.7401614007999999</v>
      </c>
      <c r="R70">
        <v>-6.6746062799999999</v>
      </c>
      <c r="S70">
        <v>-7.2530721576000001</v>
      </c>
      <c r="T70">
        <v>-7.0305852816000005</v>
      </c>
    </row>
    <row r="71" spans="1:20" x14ac:dyDescent="0.25">
      <c r="A71" s="1">
        <v>-3.2928057647999998</v>
      </c>
      <c r="B71">
        <v>-4.3162453944000001</v>
      </c>
      <c r="C71">
        <v>-5.3841823992000002</v>
      </c>
      <c r="D71">
        <v>-6.3631246535999999</v>
      </c>
      <c r="E71">
        <v>-6.8525957808000006</v>
      </c>
      <c r="F71">
        <v>-6.7636010304000012</v>
      </c>
      <c r="H71" cm="1">
        <f t="array" ref="H71">INDEX($A$1:$A$201, ROWS($A$1:$A$201) - ROW(A71)+1)</f>
        <v>4.0492611432000007</v>
      </c>
      <c r="I71" cm="1">
        <f t="array" ref="I71">INDEX(B$1:B$201, ROWS(B$1:B$201) - ROW(B71)+1)</f>
        <v>5.3841823992000002</v>
      </c>
      <c r="J71" cm="1">
        <f t="array" ref="J71">INDEX(C$1:C$201, ROWS(C$1:C$201) - ROW(C71)+1)</f>
        <v>6.7636010304000012</v>
      </c>
      <c r="K71" cm="1">
        <f t="array" ref="K71">INDEX(D$1:D$201, ROWS(D$1:D$201) - ROW(D71)+1)</f>
        <v>8.0095275360000002</v>
      </c>
      <c r="L71" cm="1">
        <f t="array" ref="L71">INDEX(E$1:E$201, ROWS(E$1:E$201) - ROW(E71)+1)</f>
        <v>8.2320144120000016</v>
      </c>
      <c r="M71" cm="1">
        <f t="array" ref="M71">INDEX(F$1:F$201, ROWS(F$1:F$201) - ROW(F71)+1)</f>
        <v>8.0095275360000002</v>
      </c>
      <c r="N71" s="1"/>
      <c r="O71" s="1">
        <v>-3.2928057647999998</v>
      </c>
      <c r="P71">
        <v>-4.3162453944000001</v>
      </c>
      <c r="Q71">
        <v>-5.3841823992000002</v>
      </c>
      <c r="R71">
        <v>-6.3631246535999999</v>
      </c>
      <c r="S71">
        <v>-6.8525957808000006</v>
      </c>
      <c r="T71">
        <v>-6.7636010304000012</v>
      </c>
    </row>
    <row r="72" spans="1:20" x14ac:dyDescent="0.25">
      <c r="A72" s="1">
        <v>-3.0703188887999997</v>
      </c>
      <c r="B72">
        <v>-4.0937585184000005</v>
      </c>
      <c r="C72">
        <v>-5.0727007727999993</v>
      </c>
      <c r="D72">
        <v>-6.0516430272000008</v>
      </c>
      <c r="E72">
        <v>-6.5856115295999995</v>
      </c>
      <c r="F72">
        <v>-6.4521194040000003</v>
      </c>
      <c r="H72" cm="1">
        <f t="array" ref="H72">INDEX($A$1:$A$201, ROWS($A$1:$A$201) - ROW(A72)+1)</f>
        <v>3.7822768920000001</v>
      </c>
      <c r="I72" cm="1">
        <f t="array" ref="I72">INDEX(B$1:B$201, ROWS(B$1:B$201) - ROW(B72)+1)</f>
        <v>5.0727007727999993</v>
      </c>
      <c r="J72" cm="1">
        <f t="array" ref="J72">INDEX(C$1:C$201, ROWS(C$1:C$201) - ROW(C72)+1)</f>
        <v>6.3186272784000002</v>
      </c>
      <c r="K72" cm="1">
        <f t="array" ref="K72">INDEX(D$1:D$201, ROWS(D$1:D$201) - ROW(D72)+1)</f>
        <v>7.6090511592000007</v>
      </c>
      <c r="L72" cm="1">
        <f t="array" ref="L72">INDEX(E$1:E$201, ROWS(E$1:E$201) - ROW(E72)+1)</f>
        <v>7.876035410400001</v>
      </c>
      <c r="M72" cm="1">
        <f t="array" ref="M72">INDEX(F$1:F$201, ROWS(F$1:F$201) - ROW(F72)+1)</f>
        <v>7.6535485344000005</v>
      </c>
      <c r="N72" s="1"/>
      <c r="O72" s="1">
        <v>-3.0703188887999997</v>
      </c>
      <c r="P72">
        <v>-4.0937585184000005</v>
      </c>
      <c r="Q72">
        <v>-5.0727007727999993</v>
      </c>
      <c r="R72">
        <v>-6.0516430272000008</v>
      </c>
      <c r="S72">
        <v>-6.5856115295999995</v>
      </c>
      <c r="T72">
        <v>-6.4521194040000003</v>
      </c>
    </row>
    <row r="73" spans="1:20" x14ac:dyDescent="0.25">
      <c r="A73" s="1">
        <v>-2.8923293880000003</v>
      </c>
      <c r="B73">
        <v>-3.8267742672000002</v>
      </c>
      <c r="C73">
        <v>-4.8057165216000008</v>
      </c>
      <c r="D73">
        <v>-5.6956640256000002</v>
      </c>
      <c r="E73">
        <v>-6.2296325279999998</v>
      </c>
      <c r="F73">
        <v>-6.1851351527999991</v>
      </c>
      <c r="H73" cm="1">
        <f t="array" ref="H73">INDEX($A$1:$A$201, ROWS($A$1:$A$201) - ROW(A73)+1)</f>
        <v>3.559790016</v>
      </c>
      <c r="I73" cm="1">
        <f t="array" ref="I73">INDEX(B$1:B$201, ROWS(B$1:B$201) - ROW(B73)+1)</f>
        <v>4.8057165216000008</v>
      </c>
      <c r="J73" cm="1">
        <f t="array" ref="J73">INDEX(C$1:C$201, ROWS(C$1:C$201) - ROW(C73)+1)</f>
        <v>6.0961404024000005</v>
      </c>
      <c r="K73" cm="1">
        <f t="array" ref="K73">INDEX(D$1:D$201, ROWS(D$1:D$201) - ROW(D73)+1)</f>
        <v>7.0750826568000003</v>
      </c>
      <c r="L73" cm="1">
        <f t="array" ref="L73">INDEX(E$1:E$201, ROWS(E$1:E$201) - ROW(E73)+1)</f>
        <v>7.4310616584</v>
      </c>
      <c r="M73" cm="1">
        <f t="array" ref="M73">INDEX(F$1:F$201, ROWS(F$1:F$201) - ROW(F73)+1)</f>
        <v>7.2530721575999992</v>
      </c>
      <c r="N73" s="1"/>
      <c r="O73" s="1">
        <v>-2.8923293880000003</v>
      </c>
      <c r="P73">
        <v>-3.8267742672000002</v>
      </c>
      <c r="Q73">
        <v>-4.8057165216000008</v>
      </c>
      <c r="R73">
        <v>-5.6956640256000002</v>
      </c>
      <c r="S73">
        <v>-6.2296325279999998</v>
      </c>
      <c r="T73">
        <v>-6.1851351527999991</v>
      </c>
    </row>
    <row r="74" spans="1:20" x14ac:dyDescent="0.25">
      <c r="A74" s="1">
        <v>-2.7143398872000004</v>
      </c>
      <c r="B74">
        <v>-3.6042873912000006</v>
      </c>
      <c r="C74">
        <v>-4.5387322704000006</v>
      </c>
      <c r="D74">
        <v>-5.2951876487999998</v>
      </c>
      <c r="E74">
        <v>-5.8736535264000009</v>
      </c>
      <c r="F74">
        <v>-5.7846587760000006</v>
      </c>
      <c r="H74" cm="1">
        <f t="array" ref="H74">INDEX($A$1:$A$201, ROWS($A$1:$A$201) - ROW(A74)+1)</f>
        <v>3.2928057647999998</v>
      </c>
      <c r="I74" cm="1">
        <f t="array" ref="I74">INDEX(B$1:B$201, ROWS(B$1:B$201) - ROW(B74)+1)</f>
        <v>4.4942348952000009</v>
      </c>
      <c r="J74" cm="1">
        <f t="array" ref="J74">INDEX(C$1:C$201, ROWS(C$1:C$201) - ROW(C74)+1)</f>
        <v>5.6511666504000004</v>
      </c>
      <c r="K74" cm="1">
        <f t="array" ref="K74">INDEX(D$1:D$201, ROWS(D$1:D$201) - ROW(D74)+1)</f>
        <v>6.6746062799999999</v>
      </c>
      <c r="L74" cm="1">
        <f t="array" ref="L74">INDEX(E$1:E$201, ROWS(E$1:E$201) - ROW(E74)+1)</f>
        <v>6.8525957808000006</v>
      </c>
      <c r="M74" cm="1">
        <f t="array" ref="M74">INDEX(F$1:F$201, ROWS(F$1:F$201) - ROW(F74)+1)</f>
        <v>6.8525957808000006</v>
      </c>
      <c r="N74" s="1"/>
      <c r="O74" s="1">
        <v>-2.7143398872000004</v>
      </c>
      <c r="P74">
        <v>-3.6042873912000006</v>
      </c>
      <c r="Q74">
        <v>-4.5387322704000006</v>
      </c>
      <c r="R74">
        <v>-5.2951876487999998</v>
      </c>
      <c r="S74">
        <v>-5.8736535264000009</v>
      </c>
      <c r="T74">
        <v>-5.7846587760000006</v>
      </c>
    </row>
    <row r="75" spans="1:20" x14ac:dyDescent="0.25">
      <c r="A75" s="1">
        <v>-2.4473556360000002</v>
      </c>
      <c r="B75">
        <v>-3.3373031399999999</v>
      </c>
      <c r="C75">
        <v>-4.1827532688</v>
      </c>
      <c r="D75">
        <v>-5.0282033975999996</v>
      </c>
      <c r="E75">
        <v>-5.4731771495999997</v>
      </c>
      <c r="F75">
        <v>-5.4731771495999997</v>
      </c>
      <c r="H75" cm="1">
        <f t="array" ref="H75">INDEX($A$1:$A$201, ROWS($A$1:$A$201) - ROW(A75)+1)</f>
        <v>3.0703188887999997</v>
      </c>
      <c r="I75" cm="1">
        <f t="array" ref="I75">INDEX(B$1:B$201, ROWS(B$1:B$201) - ROW(B75)+1)</f>
        <v>4.1827532688</v>
      </c>
      <c r="J75" cm="1">
        <f t="array" ref="J75">INDEX(C$1:C$201, ROWS(C$1:C$201) - ROW(C75)+1)</f>
        <v>5.2061928984000003</v>
      </c>
      <c r="K75" cm="1">
        <f t="array" ref="K75">INDEX(D$1:D$201, ROWS(D$1:D$201) - ROW(D75)+1)</f>
        <v>6.2741299032000004</v>
      </c>
      <c r="L75" cm="1">
        <f t="array" ref="L75">INDEX(E$1:E$201, ROWS(E$1:E$201) - ROW(E75)+1)</f>
        <v>6.5411141544000007</v>
      </c>
      <c r="M75" cm="1">
        <f t="array" ref="M75">INDEX(F$1:F$201, ROWS(F$1:F$201) - ROW(F75)+1)</f>
        <v>6.4966167792</v>
      </c>
      <c r="N75" s="1"/>
      <c r="O75" s="1">
        <v>-2.4473556360000002</v>
      </c>
      <c r="P75">
        <v>-3.3373031399999999</v>
      </c>
      <c r="Q75">
        <v>-4.1827532688</v>
      </c>
      <c r="R75">
        <v>-5.0282033975999996</v>
      </c>
      <c r="S75">
        <v>-5.4731771495999997</v>
      </c>
      <c r="T75">
        <v>-5.4731771495999997</v>
      </c>
    </row>
    <row r="76" spans="1:20" x14ac:dyDescent="0.25">
      <c r="A76" s="1">
        <v>-2.3138635104</v>
      </c>
      <c r="B76">
        <v>-3.1148162639999999</v>
      </c>
      <c r="C76">
        <v>-3.9157690176000002</v>
      </c>
      <c r="D76">
        <v>-4.7167217712000005</v>
      </c>
      <c r="E76">
        <v>-5.2061928984000003</v>
      </c>
      <c r="F76">
        <v>-5.2061928984000003</v>
      </c>
      <c r="H76" cm="1">
        <f t="array" ref="H76">INDEX($A$1:$A$201, ROWS($A$1:$A$201) - ROW(A76)+1)</f>
        <v>2.8478320128000001</v>
      </c>
      <c r="I76" cm="1">
        <f t="array" ref="I76">INDEX(B$1:B$201, ROWS(B$1:B$201) - ROW(B76)+1)</f>
        <v>3.8712716424</v>
      </c>
      <c r="J76" cm="1">
        <f t="array" ref="J76">INDEX(C$1:C$201, ROWS(C$1:C$201) - ROW(C76)+1)</f>
        <v>4.8947112720000003</v>
      </c>
      <c r="K76" cm="1">
        <f t="array" ref="K76">INDEX(D$1:D$201, ROWS(D$1:D$201) - ROW(D76)+1)</f>
        <v>5.9181509015999998</v>
      </c>
      <c r="L76" cm="1">
        <f t="array" ref="L76">INDEX(E$1:E$201, ROWS(E$1:E$201) - ROW(E76)+1)</f>
        <v>6.1406377776000003</v>
      </c>
      <c r="M76" cm="1">
        <f t="array" ref="M76">INDEX(F$1:F$201, ROWS(F$1:F$201) - ROW(F76)+1)</f>
        <v>6.2741299032000004</v>
      </c>
      <c r="N76" s="1"/>
      <c r="O76" s="1">
        <v>-2.3138635104</v>
      </c>
      <c r="P76">
        <v>-3.1148162639999999</v>
      </c>
      <c r="Q76">
        <v>-3.9157690176000002</v>
      </c>
      <c r="R76">
        <v>-4.7167217712000005</v>
      </c>
      <c r="S76">
        <v>-5.2061928984000003</v>
      </c>
      <c r="T76">
        <v>-5.2061928984000003</v>
      </c>
    </row>
    <row r="77" spans="1:20" x14ac:dyDescent="0.25">
      <c r="A77" s="1">
        <v>-2.0913766344</v>
      </c>
      <c r="B77">
        <v>-2.8923293880000003</v>
      </c>
      <c r="C77">
        <v>-3.6487847663999999</v>
      </c>
      <c r="D77">
        <v>-4.3607427695999998</v>
      </c>
      <c r="E77">
        <v>-4.8502138968000006</v>
      </c>
      <c r="F77">
        <v>-4.9392086472000001</v>
      </c>
      <c r="H77" cm="1">
        <f t="array" ref="H77">INDEX($A$1:$A$201, ROWS($A$1:$A$201) - ROW(A77)+1)</f>
        <v>2.5808477615999998</v>
      </c>
      <c r="I77" cm="1">
        <f t="array" ref="I77">INDEX(B$1:B$201, ROWS(B$1:B$201) - ROW(B77)+1)</f>
        <v>3.6042873912000006</v>
      </c>
      <c r="J77" cm="1">
        <f t="array" ref="J77">INDEX(C$1:C$201, ROWS(C$1:C$201) - ROW(C77)+1)</f>
        <v>4.5387322704000006</v>
      </c>
      <c r="K77" cm="1">
        <f t="array" ref="K77">INDEX(D$1:D$201, ROWS(D$1:D$201) - ROW(D77)+1)</f>
        <v>5.4731771495999997</v>
      </c>
      <c r="L77" cm="1">
        <f t="array" ref="L77">INDEX(E$1:E$201, ROWS(E$1:E$201) - ROW(E77)+1)</f>
        <v>5.7401614007999999</v>
      </c>
      <c r="M77" cm="1">
        <f t="array" ref="M77">INDEX(F$1:F$201, ROWS(F$1:F$201) - ROW(F77)+1)</f>
        <v>5.9626482767999995</v>
      </c>
      <c r="N77" s="1"/>
      <c r="O77" s="1">
        <v>-2.0913766344</v>
      </c>
      <c r="P77">
        <v>-2.8923293880000003</v>
      </c>
      <c r="Q77">
        <v>-3.6487847663999999</v>
      </c>
      <c r="R77">
        <v>-4.3607427695999998</v>
      </c>
      <c r="S77">
        <v>-4.8502138968000006</v>
      </c>
      <c r="T77">
        <v>-4.9392086472000001</v>
      </c>
    </row>
    <row r="78" spans="1:20" x14ac:dyDescent="0.25">
      <c r="A78" s="1">
        <v>-1.9578845088000001</v>
      </c>
      <c r="B78">
        <v>-2.6253451367999996</v>
      </c>
      <c r="C78">
        <v>-3.4262978904000003</v>
      </c>
      <c r="D78">
        <v>-4.0937585184000005</v>
      </c>
      <c r="E78">
        <v>-4.5387322704000006</v>
      </c>
      <c r="F78">
        <v>-4.6277270208000001</v>
      </c>
      <c r="H78" cm="1">
        <f t="array" ref="H78">INDEX($A$1:$A$201, ROWS($A$1:$A$201) - ROW(A78)+1)</f>
        <v>2.4028582608000004</v>
      </c>
      <c r="I78" cm="1">
        <f t="array" ref="I78">INDEX(B$1:B$201, ROWS(B$1:B$201) - ROW(B78)+1)</f>
        <v>3.2483083896</v>
      </c>
      <c r="J78" cm="1">
        <f t="array" ref="J78">INDEX(C$1:C$201, ROWS(C$1:C$201) - ROW(C78)+1)</f>
        <v>4.1827532688</v>
      </c>
      <c r="K78" cm="1">
        <f t="array" ref="K78">INDEX(D$1:D$201, ROWS(D$1:D$201) - ROW(D78)+1)</f>
        <v>5.0282033975999996</v>
      </c>
      <c r="L78" cm="1">
        <f t="array" ref="L78">INDEX(E$1:E$201, ROWS(E$1:E$201) - ROW(E78)+1)</f>
        <v>5.3841823992000002</v>
      </c>
      <c r="M78" cm="1">
        <f t="array" ref="M78">INDEX(F$1:F$201, ROWS(F$1:F$201) - ROW(F78)+1)</f>
        <v>5.6066692752000007</v>
      </c>
      <c r="N78" s="1"/>
      <c r="O78" s="1">
        <v>-1.9578845088000001</v>
      </c>
      <c r="P78">
        <v>-2.6253451367999996</v>
      </c>
      <c r="Q78">
        <v>-3.4262978904000003</v>
      </c>
      <c r="R78">
        <v>-4.0937585184000005</v>
      </c>
      <c r="S78">
        <v>-4.5387322704000006</v>
      </c>
      <c r="T78">
        <v>-4.6277270208000001</v>
      </c>
    </row>
    <row r="79" spans="1:20" x14ac:dyDescent="0.25">
      <c r="A79" s="1">
        <v>-1.7798950080000002</v>
      </c>
      <c r="B79">
        <v>-2.4028582608000004</v>
      </c>
      <c r="C79">
        <v>-3.1148162639999999</v>
      </c>
      <c r="D79">
        <v>-3.7822768920000001</v>
      </c>
      <c r="E79">
        <v>-4.2272506439999997</v>
      </c>
      <c r="F79">
        <v>-4.3607427695999998</v>
      </c>
      <c r="H79" cm="1">
        <f t="array" ref="H79">INDEX($A$1:$A$201, ROWS($A$1:$A$201) - ROW(A79)+1)</f>
        <v>2.1803713847999999</v>
      </c>
      <c r="I79" cm="1">
        <f t="array" ref="I79">INDEX(B$1:B$201, ROWS(B$1:B$201) - ROW(B79)+1)</f>
        <v>3.0258215136000004</v>
      </c>
      <c r="J79" cm="1">
        <f t="array" ref="J79">INDEX(C$1:C$201, ROWS(C$1:C$201) - ROW(C79)+1)</f>
        <v>3.8712716424</v>
      </c>
      <c r="K79" cm="1">
        <f t="array" ref="K79">INDEX(D$1:D$201, ROWS(D$1:D$201) - ROW(D79)+1)</f>
        <v>4.6277270208000001</v>
      </c>
      <c r="L79" cm="1">
        <f t="array" ref="L79">INDEX(E$1:E$201, ROWS(E$1:E$201) - ROW(E79)+1)</f>
        <v>4.9837060224000016</v>
      </c>
      <c r="M79" cm="1">
        <f t="array" ref="M79">INDEX(F$1:F$201, ROWS(F$1:F$201) - ROW(F79)+1)</f>
        <v>5.2506902735999992</v>
      </c>
      <c r="N79" s="1"/>
      <c r="O79" s="1">
        <v>-1.7798950080000002</v>
      </c>
      <c r="P79">
        <v>-2.4028582608000004</v>
      </c>
      <c r="Q79">
        <v>-3.1148162639999999</v>
      </c>
      <c r="R79">
        <v>-3.7822768920000001</v>
      </c>
      <c r="S79">
        <v>-4.2272506439999997</v>
      </c>
      <c r="T79">
        <v>-4.3607427695999998</v>
      </c>
    </row>
    <row r="80" spans="1:20" x14ac:dyDescent="0.25">
      <c r="A80" s="1">
        <v>-1.6019055071999999</v>
      </c>
      <c r="B80">
        <v>-2.2248687600000001</v>
      </c>
      <c r="C80">
        <v>-2.8033346376000003</v>
      </c>
      <c r="D80">
        <v>-3.4707952656000005</v>
      </c>
      <c r="E80">
        <v>-3.9157690176000002</v>
      </c>
      <c r="F80">
        <v>-4.0492611431999999</v>
      </c>
      <c r="H80" cm="1">
        <f t="array" ref="H80">INDEX($A$1:$A$201, ROWS($A$1:$A$201) - ROW(A80)+1)</f>
        <v>2.0023818840000001</v>
      </c>
      <c r="I80" cm="1">
        <f t="array" ref="I80">INDEX(B$1:B$201, ROWS(B$1:B$201) - ROW(B80)+1)</f>
        <v>2.7143398872000004</v>
      </c>
      <c r="J80" cm="1">
        <f t="array" ref="J80">INDEX(C$1:C$201, ROWS(C$1:C$201) - ROW(C80)+1)</f>
        <v>3.559790016</v>
      </c>
      <c r="K80" cm="1">
        <f t="array" ref="K80">INDEX(D$1:D$201, ROWS(D$1:D$201) - ROW(D80)+1)</f>
        <v>4.2717480192000004</v>
      </c>
      <c r="L80" cm="1">
        <f t="array" ref="L80">INDEX(E$1:E$201, ROWS(E$1:E$201) - ROW(E80)+1)</f>
        <v>4.6277270208000001</v>
      </c>
      <c r="M80" cm="1">
        <f t="array" ref="M80">INDEX(F$1:F$201, ROWS(F$1:F$201) - ROW(F80)+1)</f>
        <v>4.8947112719999994</v>
      </c>
      <c r="N80" s="1"/>
      <c r="O80" s="1">
        <v>-1.6019055071999999</v>
      </c>
      <c r="P80">
        <v>-2.2248687600000001</v>
      </c>
      <c r="Q80">
        <v>-2.8033346376000003</v>
      </c>
      <c r="R80">
        <v>-3.4707952656000005</v>
      </c>
      <c r="S80">
        <v>-3.9157690176000002</v>
      </c>
      <c r="T80">
        <v>-4.0492611431999999</v>
      </c>
    </row>
    <row r="81" spans="1:20" x14ac:dyDescent="0.25">
      <c r="A81" s="1">
        <v>-1.5129107568000002</v>
      </c>
      <c r="B81">
        <v>-2.0023818840000001</v>
      </c>
      <c r="C81">
        <v>-2.5363503863999997</v>
      </c>
      <c r="D81">
        <v>-3.1593136392000001</v>
      </c>
      <c r="E81">
        <v>-3.6042873912000006</v>
      </c>
      <c r="F81">
        <v>-3.7822768920000001</v>
      </c>
      <c r="H81" cm="1">
        <f t="array" ref="H81">INDEX($A$1:$A$201, ROWS($A$1:$A$201) - ROW(A81)+1)</f>
        <v>1.779895008</v>
      </c>
      <c r="I81" cm="1">
        <f t="array" ref="I81">INDEX(B$1:B$201, ROWS(B$1:B$201) - ROW(B81)+1)</f>
        <v>2.4918530112000008</v>
      </c>
      <c r="J81" cm="1">
        <f t="array" ref="J81">INDEX(C$1:C$201, ROWS(C$1:C$201) - ROW(C81)+1)</f>
        <v>3.2038110143999998</v>
      </c>
      <c r="K81" cm="1">
        <f t="array" ref="K81">INDEX(D$1:D$201, ROWS(D$1:D$201) - ROW(D81)+1)</f>
        <v>3.9157690176000002</v>
      </c>
      <c r="L81" cm="1">
        <f t="array" ref="L81">INDEX(E$1:E$201, ROWS(E$1:E$201) - ROW(E81)+1)</f>
        <v>4.1827532688</v>
      </c>
      <c r="M81" cm="1">
        <f t="array" ref="M81">INDEX(F$1:F$201, ROWS(F$1:F$201) - ROW(F81)+1)</f>
        <v>4.5832296456000003</v>
      </c>
      <c r="N81" s="1"/>
      <c r="O81" s="1">
        <v>-1.5129107568000002</v>
      </c>
      <c r="P81">
        <v>-2.0023818840000001</v>
      </c>
      <c r="Q81">
        <v>-2.5363503863999997</v>
      </c>
      <c r="R81">
        <v>-3.1593136392000001</v>
      </c>
      <c r="S81">
        <v>-3.6042873912000006</v>
      </c>
      <c r="T81">
        <v>-3.7822768920000001</v>
      </c>
    </row>
    <row r="82" spans="1:20" x14ac:dyDescent="0.25">
      <c r="A82" s="1">
        <v>-1.3349212559999999</v>
      </c>
      <c r="B82">
        <v>-1.7353976328000003</v>
      </c>
      <c r="C82">
        <v>-2.3138635104</v>
      </c>
      <c r="D82">
        <v>-2.8923293880000003</v>
      </c>
      <c r="E82">
        <v>-3.2928057647999998</v>
      </c>
      <c r="F82">
        <v>-3.5152926407999994</v>
      </c>
      <c r="H82" cm="1">
        <f t="array" ref="H82">INDEX($A$1:$A$201, ROWS($A$1:$A$201) - ROW(A82)+1)</f>
        <v>1.6019055071999999</v>
      </c>
      <c r="I82" cm="1">
        <f t="array" ref="I82">INDEX(B$1:B$201, ROWS(B$1:B$201) - ROW(B82)+1)</f>
        <v>2.1803713847999999</v>
      </c>
      <c r="J82" cm="1">
        <f t="array" ref="J82">INDEX(C$1:C$201, ROWS(C$1:C$201) - ROW(C82)+1)</f>
        <v>2.8478320128000001</v>
      </c>
      <c r="K82" cm="1">
        <f t="array" ref="K82">INDEX(D$1:D$201, ROWS(D$1:D$201) - ROW(D82)+1)</f>
        <v>3.5152926408000003</v>
      </c>
      <c r="L82" cm="1">
        <f t="array" ref="L82">INDEX(E$1:E$201, ROWS(E$1:E$201) - ROW(E82)+1)</f>
        <v>3.8267742672000002</v>
      </c>
      <c r="M82" cm="1">
        <f t="array" ref="M82">INDEX(F$1:F$201, ROWS(F$1:F$201) - ROW(F82)+1)</f>
        <v>4.1827532688</v>
      </c>
      <c r="N82" s="1"/>
      <c r="O82" s="1">
        <v>-1.3349212559999999</v>
      </c>
      <c r="P82">
        <v>-1.7353976328000003</v>
      </c>
      <c r="Q82">
        <v>-2.3138635104</v>
      </c>
      <c r="R82">
        <v>-2.8923293880000003</v>
      </c>
      <c r="S82">
        <v>-3.2928057647999998</v>
      </c>
      <c r="T82">
        <v>-3.5152926407999994</v>
      </c>
    </row>
    <row r="83" spans="1:20" x14ac:dyDescent="0.25">
      <c r="A83" s="1">
        <v>-1.1569317552</v>
      </c>
      <c r="B83">
        <v>-1.6019055071999999</v>
      </c>
      <c r="C83">
        <v>-2.0468792591999998</v>
      </c>
      <c r="D83">
        <v>-2.5363503863999997</v>
      </c>
      <c r="E83">
        <v>-2.9813241384000002</v>
      </c>
      <c r="F83">
        <v>-3.1593136392000001</v>
      </c>
      <c r="H83" cm="1">
        <f t="array" ref="H83">INDEX($A$1:$A$201, ROWS($A$1:$A$201) - ROW(A83)+1)</f>
        <v>1.4239160064</v>
      </c>
      <c r="I83" cm="1">
        <f t="array" ref="I83">INDEX(B$1:B$201, ROWS(B$1:B$201) - ROW(B83)+1)</f>
        <v>1.9578845088000001</v>
      </c>
      <c r="J83" cm="1">
        <f t="array" ref="J83">INDEX(C$1:C$201, ROWS(C$1:C$201) - ROW(C83)+1)</f>
        <v>2.5808477615999998</v>
      </c>
      <c r="K83" cm="1">
        <f t="array" ref="K83">INDEX(D$1:D$201, ROWS(D$1:D$201) - ROW(D83)+1)</f>
        <v>3.1593136392000001</v>
      </c>
      <c r="L83" cm="1">
        <f t="array" ref="L83">INDEX(E$1:E$201, ROWS(E$1:E$201) - ROW(E83)+1)</f>
        <v>3.5152926408000003</v>
      </c>
      <c r="M83" cm="1">
        <f t="array" ref="M83">INDEX(F$1:F$201, ROWS(F$1:F$201) - ROW(F83)+1)</f>
        <v>3.8267742672000002</v>
      </c>
      <c r="N83" s="1"/>
      <c r="O83" s="1">
        <v>-1.1569317552</v>
      </c>
      <c r="P83">
        <v>-1.6019055071999999</v>
      </c>
      <c r="Q83">
        <v>-2.0468792591999998</v>
      </c>
      <c r="R83">
        <v>-2.5363503863999997</v>
      </c>
      <c r="S83">
        <v>-2.9813241384000002</v>
      </c>
      <c r="T83">
        <v>-3.1593136392000001</v>
      </c>
    </row>
    <row r="84" spans="1:20" x14ac:dyDescent="0.25">
      <c r="A84" s="1">
        <v>-0.97894225440000004</v>
      </c>
      <c r="B84">
        <v>-1.4239160064</v>
      </c>
      <c r="C84">
        <v>-1.8243923832000002</v>
      </c>
      <c r="D84">
        <v>-2.3138635104</v>
      </c>
      <c r="E84">
        <v>-2.6698425119999998</v>
      </c>
      <c r="F84">
        <v>-2.8923293880000003</v>
      </c>
      <c r="H84" cm="1">
        <f t="array" ref="H84">INDEX($A$1:$A$201, ROWS($A$1:$A$201) - ROW(A84)+1)</f>
        <v>1.2459265056</v>
      </c>
      <c r="I84" cm="1">
        <f t="array" ref="I84">INDEX(B$1:B$201, ROWS(B$1:B$201) - ROW(B84)+1)</f>
        <v>1.7353976328000003</v>
      </c>
      <c r="J84" cm="1">
        <f t="array" ref="J84">INDEX(C$1:C$201, ROWS(C$1:C$201) - ROW(C84)+1)</f>
        <v>2.2248687600000001</v>
      </c>
      <c r="K84" cm="1">
        <f t="array" ref="K84">INDEX(D$1:D$201, ROWS(D$1:D$201) - ROW(D84)+1)</f>
        <v>2.8478320128000001</v>
      </c>
      <c r="L84" cm="1">
        <f t="array" ref="L84">INDEX(E$1:E$201, ROWS(E$1:E$201) - ROW(E84)+1)</f>
        <v>3.1148162639999999</v>
      </c>
      <c r="M84" cm="1">
        <f t="array" ref="M84">INDEX(F$1:F$201, ROWS(F$1:F$201) - ROW(F84)+1)</f>
        <v>3.559790016</v>
      </c>
      <c r="N84" s="1"/>
      <c r="O84" s="1">
        <v>-0.97894225440000004</v>
      </c>
      <c r="P84">
        <v>-1.4239160064</v>
      </c>
      <c r="Q84">
        <v>-1.8243923832000002</v>
      </c>
      <c r="R84">
        <v>-2.3138635104</v>
      </c>
      <c r="S84">
        <v>-2.6698425119999998</v>
      </c>
      <c r="T84">
        <v>-2.8923293880000003</v>
      </c>
    </row>
    <row r="85" spans="1:20" x14ac:dyDescent="0.25">
      <c r="A85" s="1">
        <v>-0.84545012880000014</v>
      </c>
      <c r="B85">
        <v>-1.2014291304000002</v>
      </c>
      <c r="C85">
        <v>-1.6019055071999999</v>
      </c>
      <c r="D85">
        <v>-2.0468792592000002</v>
      </c>
      <c r="E85">
        <v>-2.3583608856000002</v>
      </c>
      <c r="F85">
        <v>-2.5808477615999998</v>
      </c>
      <c r="H85" cm="1">
        <f t="array" ref="H85">INDEX($A$1:$A$201, ROWS($A$1:$A$201) - ROW(A85)+1)</f>
        <v>1.0679370048000001</v>
      </c>
      <c r="I85" cm="1">
        <f t="array" ref="I85">INDEX(B$1:B$201, ROWS(B$1:B$201) - ROW(B85)+1)</f>
        <v>1.5129107568000002</v>
      </c>
      <c r="J85" cm="1">
        <f t="array" ref="J85">INDEX(C$1:C$201, ROWS(C$1:C$201) - ROW(C85)+1)</f>
        <v>1.9578845088000001</v>
      </c>
      <c r="K85" cm="1">
        <f t="array" ref="K85">INDEX(D$1:D$201, ROWS(D$1:D$201) - ROW(D85)+1)</f>
        <v>2.4473556359999997</v>
      </c>
      <c r="L85" cm="1">
        <f t="array" ref="L85">INDEX(E$1:E$201, ROWS(E$1:E$201) - ROW(E85)+1)</f>
        <v>2.8033346376000003</v>
      </c>
      <c r="M85" cm="1">
        <f t="array" ref="M85">INDEX(F$1:F$201, ROWS(F$1:F$201) - ROW(F85)+1)</f>
        <v>3.1593136392000001</v>
      </c>
      <c r="N85" s="1"/>
      <c r="O85" s="1">
        <v>-0.84545012880000014</v>
      </c>
      <c r="P85">
        <v>-1.2014291304000002</v>
      </c>
      <c r="Q85">
        <v>-1.6019055071999999</v>
      </c>
      <c r="R85">
        <v>-2.0468792592000002</v>
      </c>
      <c r="S85">
        <v>-2.3583608856000002</v>
      </c>
      <c r="T85">
        <v>-2.5808477615999998</v>
      </c>
    </row>
    <row r="86" spans="1:20" x14ac:dyDescent="0.25">
      <c r="A86" s="1">
        <v>-0.71195800320000002</v>
      </c>
      <c r="B86">
        <v>-1.0679370048000001</v>
      </c>
      <c r="C86">
        <v>-1.4239160063999996</v>
      </c>
      <c r="D86">
        <v>-1.7798950080000002</v>
      </c>
      <c r="E86">
        <v>-2.0468792592000002</v>
      </c>
      <c r="F86">
        <v>-2.3138635104</v>
      </c>
      <c r="H86" cm="1">
        <f t="array" ref="H86">INDEX($A$1:$A$201, ROWS($A$1:$A$201) - ROW(A86)+1)</f>
        <v>0.88994750400000011</v>
      </c>
      <c r="I86" cm="1">
        <f t="array" ref="I86">INDEX(B$1:B$201, ROWS(B$1:B$201) - ROW(B86)+1)</f>
        <v>1.2904238808000004</v>
      </c>
      <c r="J86" cm="1">
        <f t="array" ref="J86">INDEX(C$1:C$201, ROWS(C$1:C$201) - ROW(C86)+1)</f>
        <v>1.7353976327999998</v>
      </c>
      <c r="K86" cm="1">
        <f t="array" ref="K86">INDEX(D$1:D$201, ROWS(D$1:D$201) - ROW(D86)+1)</f>
        <v>2.1358740096000002</v>
      </c>
      <c r="L86" cm="1">
        <f t="array" ref="L86">INDEX(E$1:E$201, ROWS(E$1:E$201) - ROW(E86)+1)</f>
        <v>2.4473556360000002</v>
      </c>
      <c r="M86" cm="1">
        <f t="array" ref="M86">INDEX(F$1:F$201, ROWS(F$1:F$201) - ROW(F86)+1)</f>
        <v>2.8033346376000003</v>
      </c>
      <c r="N86" s="1"/>
      <c r="O86" s="1">
        <v>-0.71195800320000002</v>
      </c>
      <c r="P86">
        <v>-1.0679370048000001</v>
      </c>
      <c r="Q86">
        <v>-1.4239160063999996</v>
      </c>
      <c r="R86">
        <v>-1.7798950080000002</v>
      </c>
      <c r="S86">
        <v>-2.0468792592000002</v>
      </c>
      <c r="T86">
        <v>-2.3138635104</v>
      </c>
    </row>
    <row r="87" spans="1:20" x14ac:dyDescent="0.25">
      <c r="A87" s="1">
        <v>-0.6229632528000002</v>
      </c>
      <c r="B87">
        <v>-0.88994750400000011</v>
      </c>
      <c r="C87">
        <v>-1.2014291304000002</v>
      </c>
      <c r="D87">
        <v>-1.4684133816000002</v>
      </c>
      <c r="E87">
        <v>-1.7798950080000002</v>
      </c>
      <c r="F87">
        <v>-2.0023818840000001</v>
      </c>
      <c r="H87" cm="1">
        <f t="array" ref="H87">INDEX($A$1:$A$201, ROWS($A$1:$A$201) - ROW(A87)+1)</f>
        <v>0.7564553784000001</v>
      </c>
      <c r="I87" cm="1">
        <f t="array" ref="I87">INDEX(B$1:B$201, ROWS(B$1:B$201) - ROW(B87)+1)</f>
        <v>1.1124343800000001</v>
      </c>
      <c r="J87" cm="1">
        <f t="array" ref="J87">INDEX(C$1:C$201, ROWS(C$1:C$201) - ROW(C87)+1)</f>
        <v>1.4239160064</v>
      </c>
      <c r="K87" cm="1">
        <f t="array" ref="K87">INDEX(D$1:D$201, ROWS(D$1:D$201) - ROW(D87)+1)</f>
        <v>1.779895008</v>
      </c>
      <c r="L87" cm="1">
        <f t="array" ref="L87">INDEX(E$1:E$201, ROWS(E$1:E$201) - ROW(E87)+1)</f>
        <v>2.0913766344</v>
      </c>
      <c r="M87" cm="1">
        <f t="array" ref="M87">INDEX(F$1:F$201, ROWS(F$1:F$201) - ROW(F87)+1)</f>
        <v>2.4473556359999997</v>
      </c>
      <c r="N87" s="1"/>
      <c r="O87" s="1">
        <v>-0.6229632528000002</v>
      </c>
      <c r="P87">
        <v>-0.88994750400000011</v>
      </c>
      <c r="Q87">
        <v>-1.2014291304000002</v>
      </c>
      <c r="R87">
        <v>-1.4684133816000002</v>
      </c>
      <c r="S87">
        <v>-1.7798950080000002</v>
      </c>
      <c r="T87">
        <v>-2.0023818840000001</v>
      </c>
    </row>
    <row r="88" spans="1:20" x14ac:dyDescent="0.25">
      <c r="A88" s="1">
        <v>-0.53396850240000004</v>
      </c>
      <c r="B88">
        <v>-0.71195800320000002</v>
      </c>
      <c r="C88">
        <v>-0.97894225440000004</v>
      </c>
      <c r="D88">
        <v>-1.2459265056000004</v>
      </c>
      <c r="E88">
        <v>-1.5129107568000002</v>
      </c>
      <c r="F88">
        <v>-1.6909002576000003</v>
      </c>
      <c r="H88" cm="1">
        <f t="array" ref="H88">INDEX($A$1:$A$201, ROWS($A$1:$A$201) - ROW(A88)+1)</f>
        <v>0.66746062800000017</v>
      </c>
      <c r="I88" cm="1">
        <f t="array" ref="I88">INDEX(B$1:B$201, ROWS(B$1:B$201) - ROW(B88)+1)</f>
        <v>0.93444487920000008</v>
      </c>
      <c r="J88" cm="1">
        <f t="array" ref="J88">INDEX(C$1:C$201, ROWS(C$1:C$201) - ROW(C88)+1)</f>
        <v>1.2014291304</v>
      </c>
      <c r="K88" cm="1">
        <f t="array" ref="K88">INDEX(D$1:D$201, ROWS(D$1:D$201) - ROW(D88)+1)</f>
        <v>1.5129107568</v>
      </c>
      <c r="L88" cm="1">
        <f t="array" ref="L88">INDEX(E$1:E$201, ROWS(E$1:E$201) - ROW(E88)+1)</f>
        <v>1.7798950080000002</v>
      </c>
      <c r="M88" cm="1">
        <f t="array" ref="M88">INDEX(F$1:F$201, ROWS(F$1:F$201) - ROW(F88)+1)</f>
        <v>2.0913766344</v>
      </c>
      <c r="N88" s="1"/>
      <c r="O88" s="1">
        <v>-0.53396850240000004</v>
      </c>
      <c r="P88">
        <v>-0.71195800320000002</v>
      </c>
      <c r="Q88">
        <v>-0.97894225440000004</v>
      </c>
      <c r="R88">
        <v>-1.2459265056000004</v>
      </c>
      <c r="S88">
        <v>-1.5129107568000002</v>
      </c>
      <c r="T88">
        <v>-1.6909002576000003</v>
      </c>
    </row>
    <row r="89" spans="1:20" x14ac:dyDescent="0.25">
      <c r="A89" s="1">
        <v>-0.44497375200000006</v>
      </c>
      <c r="B89">
        <v>-0.57846587760000001</v>
      </c>
      <c r="C89">
        <v>-0.80095275359999996</v>
      </c>
      <c r="D89">
        <v>-1.0234396296000001</v>
      </c>
      <c r="E89">
        <v>-1.2459265056000004</v>
      </c>
      <c r="F89">
        <v>-1.4239160063999996</v>
      </c>
      <c r="H89" cm="1">
        <f t="array" ref="H89">INDEX($A$1:$A$201, ROWS($A$1:$A$201) - ROW(A89)+1)</f>
        <v>0.53396850240000004</v>
      </c>
      <c r="I89" cm="1">
        <f t="array" ref="I89">INDEX(B$1:B$201, ROWS(B$1:B$201) - ROW(B89)+1)</f>
        <v>0.71195800320000002</v>
      </c>
      <c r="J89" cm="1">
        <f t="array" ref="J89">INDEX(C$1:C$201, ROWS(C$1:C$201) - ROW(C89)+1)</f>
        <v>0.97894225440000004</v>
      </c>
      <c r="K89" cm="1">
        <f t="array" ref="K89">INDEX(D$1:D$201, ROWS(D$1:D$201) - ROW(D89)+1)</f>
        <v>1.2459265056</v>
      </c>
      <c r="L89" cm="1">
        <f t="array" ref="L89">INDEX(E$1:E$201, ROWS(E$1:E$201) - ROW(E89)+1)</f>
        <v>1.4684133816000002</v>
      </c>
      <c r="M89" cm="1">
        <f t="array" ref="M89">INDEX(F$1:F$201, ROWS(F$1:F$201) - ROW(F89)+1)</f>
        <v>1.7798950080000002</v>
      </c>
      <c r="N89" s="1"/>
      <c r="O89" s="1">
        <v>-0.44497375200000006</v>
      </c>
      <c r="P89">
        <v>-0.57846587760000001</v>
      </c>
      <c r="Q89">
        <v>-0.80095275359999996</v>
      </c>
      <c r="R89">
        <v>-1.0234396296000001</v>
      </c>
      <c r="S89">
        <v>-1.2459265056000004</v>
      </c>
      <c r="T89">
        <v>-1.4239160063999996</v>
      </c>
    </row>
    <row r="90" spans="1:20" x14ac:dyDescent="0.25">
      <c r="A90" s="1">
        <v>-0.3114816264000001</v>
      </c>
      <c r="B90">
        <v>-0.44497375200000006</v>
      </c>
      <c r="C90">
        <v>-0.66746062799999994</v>
      </c>
      <c r="D90">
        <v>-0.84545012880000014</v>
      </c>
      <c r="E90">
        <v>-1.0234396296000001</v>
      </c>
      <c r="F90">
        <v>-1.2014291304000002</v>
      </c>
      <c r="H90" cm="1">
        <f t="array" ref="H90">INDEX($A$1:$A$201, ROWS($A$1:$A$201) - ROW(A90)+1)</f>
        <v>0.40047637679999998</v>
      </c>
      <c r="I90" cm="1">
        <f t="array" ref="I90">INDEX(B$1:B$201, ROWS(B$1:B$201) - ROW(B90)+1)</f>
        <v>0.53396850240000004</v>
      </c>
      <c r="J90" cm="1">
        <f t="array" ref="J90">INDEX(C$1:C$201, ROWS(C$1:C$201) - ROW(C90)+1)</f>
        <v>0.80095275360000007</v>
      </c>
      <c r="K90" cm="1">
        <f t="array" ref="K90">INDEX(D$1:D$201, ROWS(D$1:D$201) - ROW(D90)+1)</f>
        <v>0.97894225440000004</v>
      </c>
      <c r="L90" cm="1">
        <f t="array" ref="L90">INDEX(E$1:E$201, ROWS(E$1:E$201) - ROW(E90)+1)</f>
        <v>1.2014291304000002</v>
      </c>
      <c r="M90" cm="1">
        <f t="array" ref="M90">INDEX(F$1:F$201, ROWS(F$1:F$201) - ROW(F90)+1)</f>
        <v>1.4684133816000002</v>
      </c>
      <c r="N90" s="1"/>
      <c r="O90" s="1">
        <v>-0.3114816264000001</v>
      </c>
      <c r="P90">
        <v>-0.44497375200000006</v>
      </c>
      <c r="Q90">
        <v>-0.66746062799999994</v>
      </c>
      <c r="R90">
        <v>-0.84545012880000014</v>
      </c>
      <c r="S90">
        <v>-1.0234396296000001</v>
      </c>
      <c r="T90">
        <v>-1.2014291304000002</v>
      </c>
    </row>
    <row r="91" spans="1:20" x14ac:dyDescent="0.25">
      <c r="A91" s="1">
        <v>0</v>
      </c>
      <c r="B91">
        <v>-0.35597900160000001</v>
      </c>
      <c r="C91">
        <v>-0.44497375200000006</v>
      </c>
      <c r="D91">
        <v>-0.66746062799999994</v>
      </c>
      <c r="E91">
        <v>-0.7564553784000001</v>
      </c>
      <c r="F91">
        <v>-0.88994750400000011</v>
      </c>
      <c r="H91" cm="1">
        <f t="array" ref="H91">INDEX($A$1:$A$201, ROWS($A$1:$A$201) - ROW(A91)+1)</f>
        <v>0</v>
      </c>
      <c r="I91" cm="1">
        <f t="array" ref="I91">INDEX(B$1:B$201, ROWS(B$1:B$201) - ROW(B91)+1)</f>
        <v>0.40047637679999998</v>
      </c>
      <c r="J91" cm="1">
        <f t="array" ref="J91">INDEX(C$1:C$201, ROWS(C$1:C$201) - ROW(C91)+1)</f>
        <v>0.6229632528000002</v>
      </c>
      <c r="K91" cm="1">
        <f t="array" ref="K91">INDEX(D$1:D$201, ROWS(D$1:D$201) - ROW(D91)+1)</f>
        <v>0.7564553784000001</v>
      </c>
      <c r="L91" cm="1">
        <f t="array" ref="L91">INDEX(E$1:E$201, ROWS(E$1:E$201) - ROW(E91)+1)</f>
        <v>0.88994750400000011</v>
      </c>
      <c r="M91" cm="1">
        <f t="array" ref="M91">INDEX(F$1:F$201, ROWS(F$1:F$201) - ROW(F91)+1)</f>
        <v>1.1124343799999998</v>
      </c>
      <c r="N91" s="1"/>
      <c r="O91" s="1">
        <v>0</v>
      </c>
      <c r="P91">
        <v>-0.35597900160000001</v>
      </c>
      <c r="Q91">
        <v>-0.44497375200000006</v>
      </c>
      <c r="R91">
        <v>-0.66746062799999994</v>
      </c>
      <c r="S91">
        <v>-0.7564553784000001</v>
      </c>
      <c r="T91">
        <v>-0.88994750400000011</v>
      </c>
    </row>
    <row r="92" spans="1:20" x14ac:dyDescent="0.25">
      <c r="A92" s="1">
        <v>0</v>
      </c>
      <c r="B92">
        <v>0</v>
      </c>
      <c r="C92">
        <v>-0.3114816264000001</v>
      </c>
      <c r="D92">
        <v>-0.48947112720000002</v>
      </c>
      <c r="E92">
        <v>-0.57846587760000001</v>
      </c>
      <c r="F92">
        <v>-0.71195800320000002</v>
      </c>
      <c r="H92" cm="1">
        <f t="array" ref="H92">INDEX($A$1:$A$201, ROWS($A$1:$A$201) - ROW(A92)+1)</f>
        <v>0</v>
      </c>
      <c r="I92" cm="1">
        <f t="array" ref="I92">INDEX(B$1:B$201, ROWS(B$1:B$201) - ROW(B92)+1)</f>
        <v>0</v>
      </c>
      <c r="J92" cm="1">
        <f t="array" ref="J92">INDEX(C$1:C$201, ROWS(C$1:C$201) - ROW(C92)+1)</f>
        <v>0.444973752</v>
      </c>
      <c r="K92" cm="1">
        <f t="array" ref="K92">INDEX(D$1:D$201, ROWS(D$1:D$201) - ROW(D92)+1)</f>
        <v>0.53396850240000004</v>
      </c>
      <c r="L92" cm="1">
        <f t="array" ref="L92">INDEX(E$1:E$201, ROWS(E$1:E$201) - ROW(E92)+1)</f>
        <v>0.66746062800000017</v>
      </c>
      <c r="M92" cm="1">
        <f t="array" ref="M92">INDEX(F$1:F$201, ROWS(F$1:F$201) - ROW(F92)+1)</f>
        <v>0.84545012880000014</v>
      </c>
      <c r="N92" s="1"/>
      <c r="O92" s="1">
        <v>0</v>
      </c>
      <c r="P92">
        <v>0</v>
      </c>
      <c r="Q92">
        <v>-0.3114816264000001</v>
      </c>
      <c r="R92">
        <v>-0.48947112720000002</v>
      </c>
      <c r="S92">
        <v>-0.57846587760000001</v>
      </c>
      <c r="T92">
        <v>-0.71195800320000002</v>
      </c>
    </row>
    <row r="93" spans="1:20" x14ac:dyDescent="0.25">
      <c r="A93" s="1">
        <v>0</v>
      </c>
      <c r="B93">
        <v>0</v>
      </c>
      <c r="C93">
        <v>0</v>
      </c>
      <c r="D93">
        <v>-0.35597900160000001</v>
      </c>
      <c r="E93">
        <v>-0.444973752</v>
      </c>
      <c r="F93">
        <v>-0.53396850240000004</v>
      </c>
      <c r="H93" cm="1">
        <f t="array" ref="H93">INDEX($A$1:$A$201, ROWS($A$1:$A$201) - ROW(A93)+1)</f>
        <v>0</v>
      </c>
      <c r="I93" cm="1">
        <f t="array" ref="I93">INDEX(B$1:B$201, ROWS(B$1:B$201) - ROW(B93)+1)</f>
        <v>0</v>
      </c>
      <c r="J93" cm="1">
        <f t="array" ref="J93">INDEX(C$1:C$201, ROWS(C$1:C$201) - ROW(C93)+1)</f>
        <v>0</v>
      </c>
      <c r="K93" cm="1">
        <f t="array" ref="K93">INDEX(D$1:D$201, ROWS(D$1:D$201) - ROW(D93)+1)</f>
        <v>0.40047637679999998</v>
      </c>
      <c r="L93" cm="1">
        <f t="array" ref="L93">INDEX(E$1:E$201, ROWS(E$1:E$201) - ROW(E93)+1)</f>
        <v>0.444973752</v>
      </c>
      <c r="M93" cm="1">
        <f t="array" ref="M93">INDEX(F$1:F$201, ROWS(F$1:F$201) - ROW(F93)+1)</f>
        <v>0.57846587760000001</v>
      </c>
      <c r="N93" s="1"/>
      <c r="O93" s="1">
        <v>0</v>
      </c>
      <c r="P93">
        <v>0</v>
      </c>
      <c r="Q93">
        <v>0</v>
      </c>
      <c r="R93">
        <v>-0.35597900160000001</v>
      </c>
      <c r="S93">
        <v>-0.444973752</v>
      </c>
      <c r="T93">
        <v>-0.53396850240000004</v>
      </c>
    </row>
    <row r="94" spans="1:20" x14ac:dyDescent="0.25">
      <c r="A94" s="1">
        <v>0</v>
      </c>
      <c r="B94">
        <v>0</v>
      </c>
      <c r="C94">
        <v>0</v>
      </c>
      <c r="D94">
        <v>0</v>
      </c>
      <c r="E94">
        <v>0</v>
      </c>
      <c r="F94">
        <v>-0.35597900160000001</v>
      </c>
      <c r="H94" cm="1">
        <f t="array" ref="H94">INDEX($A$1:$A$201, ROWS($A$1:$A$201) - ROW(A94)+1)</f>
        <v>0</v>
      </c>
      <c r="I94" cm="1">
        <f t="array" ref="I94">INDEX(B$1:B$201, ROWS(B$1:B$201) - ROW(B94)+1)</f>
        <v>0</v>
      </c>
      <c r="J94" cm="1">
        <f t="array" ref="J94">INDEX(C$1:C$201, ROWS(C$1:C$201) - ROW(C94)+1)</f>
        <v>0</v>
      </c>
      <c r="K94" cm="1">
        <f t="array" ref="K94">INDEX(D$1:D$201, ROWS(D$1:D$201) - ROW(D94)+1)</f>
        <v>0</v>
      </c>
      <c r="L94" cm="1">
        <f t="array" ref="L94">INDEX(E$1:E$201, ROWS(E$1:E$201) - ROW(E94)+1)</f>
        <v>0</v>
      </c>
      <c r="M94" cm="1">
        <f t="array" ref="M94">INDEX(F$1:F$201, ROWS(F$1:F$201) - ROW(F94)+1)</f>
        <v>0</v>
      </c>
      <c r="N94" s="1"/>
      <c r="O94" s="1">
        <v>0</v>
      </c>
      <c r="P94">
        <v>0</v>
      </c>
      <c r="Q94">
        <v>0</v>
      </c>
      <c r="R94">
        <v>0</v>
      </c>
      <c r="S94">
        <v>0</v>
      </c>
      <c r="T94">
        <v>-0.35597900160000001</v>
      </c>
    </row>
    <row r="95" spans="1:20" x14ac:dyDescent="0.25">
      <c r="A95" s="1">
        <v>0</v>
      </c>
      <c r="B95">
        <v>0</v>
      </c>
      <c r="C95">
        <v>0</v>
      </c>
      <c r="D95">
        <v>0</v>
      </c>
      <c r="E95">
        <v>0</v>
      </c>
      <c r="F95">
        <v>0</v>
      </c>
      <c r="H95" cm="1">
        <f t="array" ref="H95">INDEX($A$1:$A$201, ROWS($A$1:$A$201) - ROW(A95)+1)</f>
        <v>0</v>
      </c>
      <c r="I95" cm="1">
        <f t="array" ref="I95">INDEX(B$1:B$201, ROWS(B$1:B$201) - ROW(B95)+1)</f>
        <v>0</v>
      </c>
      <c r="J95" cm="1">
        <f t="array" ref="J95">INDEX(C$1:C$201, ROWS(C$1:C$201) - ROW(C95)+1)</f>
        <v>0</v>
      </c>
      <c r="K95" cm="1">
        <f t="array" ref="K95">INDEX(D$1:D$201, ROWS(D$1:D$201) - ROW(D95)+1)</f>
        <v>0</v>
      </c>
      <c r="L95" cm="1">
        <f t="array" ref="L95">INDEX(E$1:E$201, ROWS(E$1:E$201) - ROW(E95)+1)</f>
        <v>0</v>
      </c>
      <c r="M95" cm="1">
        <f t="array" ref="M95">INDEX(F$1:F$201, ROWS(F$1:F$201) - ROW(F95)+1)</f>
        <v>0</v>
      </c>
      <c r="N95" s="1"/>
      <c r="O95" s="1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s="1">
        <v>0</v>
      </c>
      <c r="B96">
        <v>0</v>
      </c>
      <c r="C96">
        <v>0</v>
      </c>
      <c r="D96">
        <v>0</v>
      </c>
      <c r="E96">
        <v>0</v>
      </c>
      <c r="F96">
        <v>0</v>
      </c>
      <c r="H96" cm="1">
        <f t="array" ref="H96">INDEX($A$1:$A$201, ROWS($A$1:$A$201) - ROW(A96)+1)</f>
        <v>0</v>
      </c>
      <c r="I96" cm="1">
        <f t="array" ref="I96">INDEX(B$1:B$201, ROWS(B$1:B$201) - ROW(B96)+1)</f>
        <v>0</v>
      </c>
      <c r="J96" cm="1">
        <f t="array" ref="J96">INDEX(C$1:C$201, ROWS(C$1:C$201) - ROW(C96)+1)</f>
        <v>0</v>
      </c>
      <c r="K96" cm="1">
        <f t="array" ref="K96">INDEX(D$1:D$201, ROWS(D$1:D$201) - ROW(D96)+1)</f>
        <v>0</v>
      </c>
      <c r="L96" cm="1">
        <f t="array" ref="L96">INDEX(E$1:E$201, ROWS(E$1:E$201) - ROW(E96)+1)</f>
        <v>0</v>
      </c>
      <c r="M96" cm="1">
        <f t="array" ref="M96">INDEX(F$1:F$201, ROWS(F$1:F$201) - ROW(F96)+1)</f>
        <v>0</v>
      </c>
      <c r="N96" s="1"/>
      <c r="O96" s="1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s="1">
        <v>0</v>
      </c>
      <c r="B97">
        <v>0</v>
      </c>
      <c r="C97">
        <v>0</v>
      </c>
      <c r="D97">
        <v>0</v>
      </c>
      <c r="E97">
        <v>0</v>
      </c>
      <c r="F97">
        <v>0</v>
      </c>
      <c r="H97" cm="1">
        <f t="array" ref="H97">INDEX($A$1:$A$201, ROWS($A$1:$A$201) - ROW(A97)+1)</f>
        <v>0</v>
      </c>
      <c r="I97" cm="1">
        <f t="array" ref="I97">INDEX(B$1:B$201, ROWS(B$1:B$201) - ROW(B97)+1)</f>
        <v>0</v>
      </c>
      <c r="J97" cm="1">
        <f t="array" ref="J97">INDEX(C$1:C$201, ROWS(C$1:C$201) - ROW(C97)+1)</f>
        <v>0</v>
      </c>
      <c r="K97" cm="1">
        <f t="array" ref="K97">INDEX(D$1:D$201, ROWS(D$1:D$201) - ROW(D97)+1)</f>
        <v>0</v>
      </c>
      <c r="L97" cm="1">
        <f t="array" ref="L97">INDEX(E$1:E$201, ROWS(E$1:E$201) - ROW(E97)+1)</f>
        <v>0</v>
      </c>
      <c r="M97" cm="1">
        <f t="array" ref="M97">INDEX(F$1:F$201, ROWS(F$1:F$201) - ROW(F97)+1)</f>
        <v>0</v>
      </c>
      <c r="N97" s="1"/>
      <c r="O97" s="1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s="1">
        <v>0</v>
      </c>
      <c r="B98">
        <v>0</v>
      </c>
      <c r="C98">
        <v>0</v>
      </c>
      <c r="D98">
        <v>0</v>
      </c>
      <c r="E98">
        <v>0</v>
      </c>
      <c r="F98">
        <v>0</v>
      </c>
      <c r="H98" cm="1">
        <f t="array" ref="H98">INDEX($A$1:$A$201, ROWS($A$1:$A$201) - ROW(A98)+1)</f>
        <v>0</v>
      </c>
      <c r="I98" cm="1">
        <f t="array" ref="I98">INDEX(B$1:B$201, ROWS(B$1:B$201) - ROW(B98)+1)</f>
        <v>0</v>
      </c>
      <c r="J98" cm="1">
        <f t="array" ref="J98">INDEX(C$1:C$201, ROWS(C$1:C$201) - ROW(C98)+1)</f>
        <v>0</v>
      </c>
      <c r="K98" cm="1">
        <f t="array" ref="K98">INDEX(D$1:D$201, ROWS(D$1:D$201) - ROW(D98)+1)</f>
        <v>0</v>
      </c>
      <c r="L98" cm="1">
        <f t="array" ref="L98">INDEX(E$1:E$201, ROWS(E$1:E$201) - ROW(E98)+1)</f>
        <v>0</v>
      </c>
      <c r="M98" cm="1">
        <f t="array" ref="M98">INDEX(F$1:F$201, ROWS(F$1:F$201) - ROW(F98)+1)</f>
        <v>0</v>
      </c>
      <c r="N98" s="1"/>
      <c r="O98" s="1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 s="1">
        <v>0</v>
      </c>
      <c r="B99">
        <v>0</v>
      </c>
      <c r="C99">
        <v>0</v>
      </c>
      <c r="D99">
        <v>0</v>
      </c>
      <c r="E99">
        <v>0</v>
      </c>
      <c r="F99">
        <v>0</v>
      </c>
      <c r="H99" cm="1">
        <f t="array" ref="H99">INDEX($A$1:$A$201, ROWS($A$1:$A$201) - ROW(A99)+1)</f>
        <v>0</v>
      </c>
      <c r="I99" cm="1">
        <f t="array" ref="I99">INDEX(B$1:B$201, ROWS(B$1:B$201) - ROW(B99)+1)</f>
        <v>0</v>
      </c>
      <c r="J99" cm="1">
        <f t="array" ref="J99">INDEX(C$1:C$201, ROWS(C$1:C$201) - ROW(C99)+1)</f>
        <v>0</v>
      </c>
      <c r="K99" cm="1">
        <f t="array" ref="K99">INDEX(D$1:D$201, ROWS(D$1:D$201) - ROW(D99)+1)</f>
        <v>0</v>
      </c>
      <c r="L99" cm="1">
        <f t="array" ref="L99">INDEX(E$1:E$201, ROWS(E$1:E$201) - ROW(E99)+1)</f>
        <v>0</v>
      </c>
      <c r="M99" cm="1">
        <f t="array" ref="M99">INDEX(F$1:F$201, ROWS(F$1:F$201) - ROW(F99)+1)</f>
        <v>0</v>
      </c>
      <c r="N99" s="1"/>
      <c r="O99" s="1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 s="1">
        <v>0</v>
      </c>
      <c r="B100">
        <v>0</v>
      </c>
      <c r="C100">
        <v>0</v>
      </c>
      <c r="D100">
        <v>0</v>
      </c>
      <c r="E100">
        <v>0</v>
      </c>
      <c r="F100">
        <v>0</v>
      </c>
      <c r="H100" cm="1">
        <f t="array" ref="H100">INDEX($A$1:$A$201, ROWS($A$1:$A$201) - ROW(A100)+1)</f>
        <v>0</v>
      </c>
      <c r="I100" cm="1">
        <f t="array" ref="I100">INDEX(B$1:B$201, ROWS(B$1:B$201) - ROW(B100)+1)</f>
        <v>0</v>
      </c>
      <c r="J100" cm="1">
        <f t="array" ref="J100">INDEX(C$1:C$201, ROWS(C$1:C$201) - ROW(C100)+1)</f>
        <v>0</v>
      </c>
      <c r="K100" cm="1">
        <f t="array" ref="K100">INDEX(D$1:D$201, ROWS(D$1:D$201) - ROW(D100)+1)</f>
        <v>0</v>
      </c>
      <c r="L100" cm="1">
        <f t="array" ref="L100">INDEX(E$1:E$201, ROWS(E$1:E$201) - ROW(E100)+1)</f>
        <v>0</v>
      </c>
      <c r="M100" cm="1">
        <f t="array" ref="M100">INDEX(F$1:F$201, ROWS(F$1:F$201) - ROW(F100)+1)</f>
        <v>0</v>
      </c>
      <c r="N100" s="1"/>
      <c r="O100" s="1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s="1">
        <v>0</v>
      </c>
      <c r="B101">
        <v>0</v>
      </c>
      <c r="C101">
        <v>0</v>
      </c>
      <c r="D101">
        <v>0</v>
      </c>
      <c r="E101">
        <v>0</v>
      </c>
      <c r="F101">
        <v>0</v>
      </c>
      <c r="H101" cm="1">
        <f t="array" ref="H101">INDEX($A$1:$A$201, ROWS($A$1:$A$201) - ROW(A101)+1)</f>
        <v>0</v>
      </c>
      <c r="I101" cm="1">
        <f t="array" ref="I101">INDEX(B$1:B$201, ROWS(B$1:B$201) - ROW(B101)+1)</f>
        <v>0</v>
      </c>
      <c r="J101" cm="1">
        <f t="array" ref="J101">INDEX(C$1:C$201, ROWS(C$1:C$201) - ROW(C101)+1)</f>
        <v>0</v>
      </c>
      <c r="K101" cm="1">
        <f t="array" ref="K101">INDEX(D$1:D$201, ROWS(D$1:D$201) - ROW(D101)+1)</f>
        <v>0</v>
      </c>
      <c r="L101" cm="1">
        <f t="array" ref="L101">INDEX(E$1:E$201, ROWS(E$1:E$201) - ROW(E101)+1)</f>
        <v>0</v>
      </c>
      <c r="M101" cm="1">
        <f t="array" ref="M101">INDEX(F$1:F$201, ROWS(F$1:F$201) - ROW(F101)+1)</f>
        <v>0</v>
      </c>
      <c r="N101" s="1"/>
      <c r="O101" s="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s="1">
        <v>0</v>
      </c>
      <c r="B102">
        <v>0</v>
      </c>
      <c r="C102">
        <v>0</v>
      </c>
      <c r="D102">
        <v>0</v>
      </c>
      <c r="E102">
        <v>0</v>
      </c>
      <c r="F102">
        <v>0</v>
      </c>
      <c r="H102" cm="1">
        <f t="array" ref="H102">INDEX($A$1:$A$201, ROWS($A$1:$A$201) - ROW(A102)+1)</f>
        <v>0</v>
      </c>
      <c r="I102" cm="1">
        <f t="array" ref="I102">INDEX(B$1:B$201, ROWS(B$1:B$201) - ROW(B102)+1)</f>
        <v>0</v>
      </c>
      <c r="J102" cm="1">
        <f t="array" ref="J102">INDEX(C$1:C$201, ROWS(C$1:C$201) - ROW(C102)+1)</f>
        <v>0</v>
      </c>
      <c r="K102" cm="1">
        <f t="array" ref="K102">INDEX(D$1:D$201, ROWS(D$1:D$201) - ROW(D102)+1)</f>
        <v>0</v>
      </c>
      <c r="L102" cm="1">
        <f t="array" ref="L102">INDEX(E$1:E$201, ROWS(E$1:E$201) - ROW(E102)+1)</f>
        <v>0</v>
      </c>
      <c r="M102" cm="1">
        <f t="array" ref="M102">INDEX(F$1:F$201, ROWS(F$1:F$201) - ROW(F102)+1)</f>
        <v>0</v>
      </c>
      <c r="N102" s="1"/>
      <c r="O102" s="1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s="1">
        <v>0</v>
      </c>
      <c r="B103">
        <v>0</v>
      </c>
      <c r="C103">
        <v>0</v>
      </c>
      <c r="D103">
        <v>0</v>
      </c>
      <c r="E103">
        <v>0</v>
      </c>
      <c r="F103">
        <v>0</v>
      </c>
      <c r="H103" cm="1">
        <f t="array" ref="H103">INDEX($A$1:$A$201, ROWS($A$1:$A$201) - ROW(A103)+1)</f>
        <v>0</v>
      </c>
      <c r="I103" cm="1">
        <f t="array" ref="I103">INDEX(B$1:B$201, ROWS(B$1:B$201) - ROW(B103)+1)</f>
        <v>0</v>
      </c>
      <c r="J103" cm="1">
        <f t="array" ref="J103">INDEX(C$1:C$201, ROWS(C$1:C$201) - ROW(C103)+1)</f>
        <v>0</v>
      </c>
      <c r="K103" cm="1">
        <f t="array" ref="K103">INDEX(D$1:D$201, ROWS(D$1:D$201) - ROW(D103)+1)</f>
        <v>0</v>
      </c>
      <c r="L103" cm="1">
        <f t="array" ref="L103">INDEX(E$1:E$201, ROWS(E$1:E$201) - ROW(E103)+1)</f>
        <v>0</v>
      </c>
      <c r="M103" cm="1">
        <f t="array" ref="M103">INDEX(F$1:F$201, ROWS(F$1:F$201) - ROW(F103)+1)</f>
        <v>0</v>
      </c>
      <c r="N103" s="1"/>
      <c r="O103" s="1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 s="1">
        <v>0</v>
      </c>
      <c r="B104">
        <v>0</v>
      </c>
      <c r="C104">
        <v>0</v>
      </c>
      <c r="D104">
        <v>0</v>
      </c>
      <c r="E104">
        <v>0</v>
      </c>
      <c r="F104">
        <v>0</v>
      </c>
      <c r="H104" cm="1">
        <f t="array" ref="H104">INDEX($A$1:$A$201, ROWS($A$1:$A$201) - ROW(A104)+1)</f>
        <v>0</v>
      </c>
      <c r="I104" cm="1">
        <f t="array" ref="I104">INDEX(B$1:B$201, ROWS(B$1:B$201) - ROW(B104)+1)</f>
        <v>0</v>
      </c>
      <c r="J104" cm="1">
        <f t="array" ref="J104">INDEX(C$1:C$201, ROWS(C$1:C$201) - ROW(C104)+1)</f>
        <v>0</v>
      </c>
      <c r="K104" cm="1">
        <f t="array" ref="K104">INDEX(D$1:D$201, ROWS(D$1:D$201) - ROW(D104)+1)</f>
        <v>0</v>
      </c>
      <c r="L104" cm="1">
        <f t="array" ref="L104">INDEX(E$1:E$201, ROWS(E$1:E$201) - ROW(E104)+1)</f>
        <v>0</v>
      </c>
      <c r="M104" cm="1">
        <f t="array" ref="M104">INDEX(F$1:F$201, ROWS(F$1:F$201) - ROW(F104)+1)</f>
        <v>0</v>
      </c>
      <c r="N104" s="1"/>
      <c r="O104" s="1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 s="1">
        <v>0</v>
      </c>
      <c r="B105">
        <v>0</v>
      </c>
      <c r="C105">
        <v>0</v>
      </c>
      <c r="D105">
        <v>0</v>
      </c>
      <c r="E105">
        <v>0</v>
      </c>
      <c r="F105">
        <v>0</v>
      </c>
      <c r="H105" cm="1">
        <f t="array" ref="H105">INDEX($A$1:$A$201, ROWS($A$1:$A$201) - ROW(A105)+1)</f>
        <v>0</v>
      </c>
      <c r="I105" cm="1">
        <f t="array" ref="I105">INDEX(B$1:B$201, ROWS(B$1:B$201) - ROW(B105)+1)</f>
        <v>0</v>
      </c>
      <c r="J105" cm="1">
        <f t="array" ref="J105">INDEX(C$1:C$201, ROWS(C$1:C$201) - ROW(C105)+1)</f>
        <v>0</v>
      </c>
      <c r="K105" cm="1">
        <f t="array" ref="K105">INDEX(D$1:D$201, ROWS(D$1:D$201) - ROW(D105)+1)</f>
        <v>0</v>
      </c>
      <c r="L105" cm="1">
        <f t="array" ref="L105">INDEX(E$1:E$201, ROWS(E$1:E$201) - ROW(E105)+1)</f>
        <v>0</v>
      </c>
      <c r="M105" cm="1">
        <f t="array" ref="M105">INDEX(F$1:F$201, ROWS(F$1:F$201) - ROW(F105)+1)</f>
        <v>0</v>
      </c>
      <c r="N105" s="1"/>
      <c r="O105" s="1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s="1">
        <v>0</v>
      </c>
      <c r="B106">
        <v>0</v>
      </c>
      <c r="C106">
        <v>0</v>
      </c>
      <c r="D106">
        <v>0</v>
      </c>
      <c r="E106">
        <v>0</v>
      </c>
      <c r="F106">
        <v>0</v>
      </c>
      <c r="H106" cm="1">
        <f t="array" ref="H106">INDEX($A$1:$A$201, ROWS($A$1:$A$201) - ROW(A106)+1)</f>
        <v>0</v>
      </c>
      <c r="I106" cm="1">
        <f t="array" ref="I106">INDEX(B$1:B$201, ROWS(B$1:B$201) - ROW(B106)+1)</f>
        <v>0</v>
      </c>
      <c r="J106" cm="1">
        <f t="array" ref="J106">INDEX(C$1:C$201, ROWS(C$1:C$201) - ROW(C106)+1)</f>
        <v>0</v>
      </c>
      <c r="K106" cm="1">
        <f t="array" ref="K106">INDEX(D$1:D$201, ROWS(D$1:D$201) - ROW(D106)+1)</f>
        <v>0</v>
      </c>
      <c r="L106" cm="1">
        <f t="array" ref="L106">INDEX(E$1:E$201, ROWS(E$1:E$201) - ROW(E106)+1)</f>
        <v>0</v>
      </c>
      <c r="M106" cm="1">
        <f t="array" ref="M106">INDEX(F$1:F$201, ROWS(F$1:F$201) - ROW(F106)+1)</f>
        <v>0</v>
      </c>
      <c r="N106" s="1"/>
      <c r="O106" s="1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s="1">
        <v>0</v>
      </c>
      <c r="B107">
        <v>0</v>
      </c>
      <c r="C107">
        <v>0</v>
      </c>
      <c r="D107">
        <v>0</v>
      </c>
      <c r="E107">
        <v>0</v>
      </c>
      <c r="F107">
        <v>0</v>
      </c>
      <c r="H107" cm="1">
        <f t="array" ref="H107">INDEX($A$1:$A$201, ROWS($A$1:$A$201) - ROW(A107)+1)</f>
        <v>0</v>
      </c>
      <c r="I107" cm="1">
        <f t="array" ref="I107">INDEX(B$1:B$201, ROWS(B$1:B$201) - ROW(B107)+1)</f>
        <v>0</v>
      </c>
      <c r="J107" cm="1">
        <f t="array" ref="J107">INDEX(C$1:C$201, ROWS(C$1:C$201) - ROW(C107)+1)</f>
        <v>0</v>
      </c>
      <c r="K107" cm="1">
        <f t="array" ref="K107">INDEX(D$1:D$201, ROWS(D$1:D$201) - ROW(D107)+1)</f>
        <v>0</v>
      </c>
      <c r="L107" cm="1">
        <f t="array" ref="L107">INDEX(E$1:E$201, ROWS(E$1:E$201) - ROW(E107)+1)</f>
        <v>0</v>
      </c>
      <c r="M107" cm="1">
        <f t="array" ref="M107">INDEX(F$1:F$201, ROWS(F$1:F$201) - ROW(F107)+1)</f>
        <v>0</v>
      </c>
      <c r="N107" s="1"/>
      <c r="O107" s="1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 s="1">
        <v>0</v>
      </c>
      <c r="B108">
        <v>0</v>
      </c>
      <c r="C108">
        <v>0</v>
      </c>
      <c r="D108">
        <v>0</v>
      </c>
      <c r="E108">
        <v>0</v>
      </c>
      <c r="F108">
        <v>0</v>
      </c>
      <c r="H108" cm="1">
        <f t="array" ref="H108">INDEX($A$1:$A$201, ROWS($A$1:$A$201) - ROW(A108)+1)</f>
        <v>0</v>
      </c>
      <c r="I108" cm="1">
        <f t="array" ref="I108">INDEX(B$1:B$201, ROWS(B$1:B$201) - ROW(B108)+1)</f>
        <v>0</v>
      </c>
      <c r="J108" cm="1">
        <f t="array" ref="J108">INDEX(C$1:C$201, ROWS(C$1:C$201) - ROW(C108)+1)</f>
        <v>0</v>
      </c>
      <c r="K108" cm="1">
        <f t="array" ref="K108">INDEX(D$1:D$201, ROWS(D$1:D$201) - ROW(D108)+1)</f>
        <v>0</v>
      </c>
      <c r="L108" cm="1">
        <f t="array" ref="L108">INDEX(E$1:E$201, ROWS(E$1:E$201) - ROW(E108)+1)</f>
        <v>0</v>
      </c>
      <c r="M108" cm="1">
        <f t="array" ref="M108">INDEX(F$1:F$201, ROWS(F$1:F$201) - ROW(F108)+1)</f>
        <v>-0.35597900160000001</v>
      </c>
      <c r="N108" s="1"/>
      <c r="O108" s="1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s="1">
        <v>0</v>
      </c>
      <c r="B109">
        <v>0</v>
      </c>
      <c r="C109">
        <v>0</v>
      </c>
      <c r="D109">
        <v>0.40047637679999998</v>
      </c>
      <c r="E109">
        <v>0.444973752</v>
      </c>
      <c r="F109">
        <v>0.57846587760000001</v>
      </c>
      <c r="H109" cm="1">
        <f t="array" ref="H109">INDEX($A$1:$A$201, ROWS($A$1:$A$201) - ROW(A109)+1)</f>
        <v>0</v>
      </c>
      <c r="I109" cm="1">
        <f t="array" ref="I109">INDEX(B$1:B$201, ROWS(B$1:B$201) - ROW(B109)+1)</f>
        <v>0</v>
      </c>
      <c r="J109" cm="1">
        <f t="array" ref="J109">INDEX(C$1:C$201, ROWS(C$1:C$201) - ROW(C109)+1)</f>
        <v>0</v>
      </c>
      <c r="K109" cm="1">
        <f t="array" ref="K109">INDEX(D$1:D$201, ROWS(D$1:D$201) - ROW(D109)+1)</f>
        <v>-0.35597900160000001</v>
      </c>
      <c r="L109" cm="1">
        <f t="array" ref="L109">INDEX(E$1:E$201, ROWS(E$1:E$201) - ROW(E109)+1)</f>
        <v>-0.444973752</v>
      </c>
      <c r="M109" cm="1">
        <f t="array" ref="M109">INDEX(F$1:F$201, ROWS(F$1:F$201) - ROW(F109)+1)</f>
        <v>-0.53396850240000004</v>
      </c>
      <c r="N109" s="1"/>
      <c r="O109" s="1">
        <v>0</v>
      </c>
      <c r="P109">
        <v>0</v>
      </c>
      <c r="Q109">
        <v>0</v>
      </c>
      <c r="R109">
        <v>0.40047637679999998</v>
      </c>
      <c r="S109">
        <v>0.444973752</v>
      </c>
      <c r="T109">
        <v>0.57846587760000001</v>
      </c>
    </row>
    <row r="110" spans="1:20" x14ac:dyDescent="0.25">
      <c r="A110" s="1">
        <v>0</v>
      </c>
      <c r="B110">
        <v>0</v>
      </c>
      <c r="C110">
        <v>0.444973752</v>
      </c>
      <c r="D110">
        <v>0.53396850240000004</v>
      </c>
      <c r="E110">
        <v>0.66746062800000017</v>
      </c>
      <c r="F110">
        <v>0.84545012880000014</v>
      </c>
      <c r="H110" cm="1">
        <f t="array" ref="H110">INDEX($A$1:$A$201, ROWS($A$1:$A$201) - ROW(A110)+1)</f>
        <v>0</v>
      </c>
      <c r="I110" cm="1">
        <f t="array" ref="I110">INDEX(B$1:B$201, ROWS(B$1:B$201) - ROW(B110)+1)</f>
        <v>0</v>
      </c>
      <c r="J110" cm="1">
        <f t="array" ref="J110">INDEX(C$1:C$201, ROWS(C$1:C$201) - ROW(C110)+1)</f>
        <v>-0.3114816264000001</v>
      </c>
      <c r="K110" cm="1">
        <f t="array" ref="K110">INDEX(D$1:D$201, ROWS(D$1:D$201) - ROW(D110)+1)</f>
        <v>-0.48947112720000002</v>
      </c>
      <c r="L110" cm="1">
        <f t="array" ref="L110">INDEX(E$1:E$201, ROWS(E$1:E$201) - ROW(E110)+1)</f>
        <v>-0.57846587760000001</v>
      </c>
      <c r="M110" cm="1">
        <f t="array" ref="M110">INDEX(F$1:F$201, ROWS(F$1:F$201) - ROW(F110)+1)</f>
        <v>-0.71195800320000002</v>
      </c>
      <c r="N110" s="1"/>
      <c r="O110" s="1">
        <v>0</v>
      </c>
      <c r="P110">
        <v>0</v>
      </c>
      <c r="Q110">
        <v>0.444973752</v>
      </c>
      <c r="R110">
        <v>0.53396850240000004</v>
      </c>
      <c r="S110">
        <v>0.66746062800000017</v>
      </c>
      <c r="T110">
        <v>0.84545012880000014</v>
      </c>
    </row>
    <row r="111" spans="1:20" x14ac:dyDescent="0.25">
      <c r="A111" s="1">
        <v>0</v>
      </c>
      <c r="B111">
        <v>0.40047637679999998</v>
      </c>
      <c r="C111">
        <v>0.6229632528000002</v>
      </c>
      <c r="D111">
        <v>0.7564553784000001</v>
      </c>
      <c r="E111">
        <v>0.88994750400000011</v>
      </c>
      <c r="F111">
        <v>1.1124343799999998</v>
      </c>
      <c r="H111" cm="1">
        <f t="array" ref="H111">INDEX($A$1:$A$201, ROWS($A$1:$A$201) - ROW(A111)+1)</f>
        <v>0</v>
      </c>
      <c r="I111" cm="1">
        <f t="array" ref="I111">INDEX(B$1:B$201, ROWS(B$1:B$201) - ROW(B111)+1)</f>
        <v>-0.35597900160000001</v>
      </c>
      <c r="J111" cm="1">
        <f t="array" ref="J111">INDEX(C$1:C$201, ROWS(C$1:C$201) - ROW(C111)+1)</f>
        <v>-0.44497375200000006</v>
      </c>
      <c r="K111" cm="1">
        <f t="array" ref="K111">INDEX(D$1:D$201, ROWS(D$1:D$201) - ROW(D111)+1)</f>
        <v>-0.66746062799999994</v>
      </c>
      <c r="L111" cm="1">
        <f t="array" ref="L111">INDEX(E$1:E$201, ROWS(E$1:E$201) - ROW(E111)+1)</f>
        <v>-0.7564553784000001</v>
      </c>
      <c r="M111" cm="1">
        <f t="array" ref="M111">INDEX(F$1:F$201, ROWS(F$1:F$201) - ROW(F111)+1)</f>
        <v>-0.88994750400000011</v>
      </c>
      <c r="N111" s="1"/>
      <c r="O111" s="1">
        <v>0</v>
      </c>
      <c r="P111">
        <v>0.40047637679999998</v>
      </c>
      <c r="Q111">
        <v>0.6229632528000002</v>
      </c>
      <c r="R111">
        <v>0.7564553784000001</v>
      </c>
      <c r="S111">
        <v>0.88994750400000011</v>
      </c>
      <c r="T111">
        <v>1.1124343799999998</v>
      </c>
    </row>
    <row r="112" spans="1:20" x14ac:dyDescent="0.25">
      <c r="A112" s="1">
        <v>0.40047637679999998</v>
      </c>
      <c r="B112">
        <v>0.53396850240000004</v>
      </c>
      <c r="C112">
        <v>0.80095275360000007</v>
      </c>
      <c r="D112">
        <v>0.97894225440000004</v>
      </c>
      <c r="E112">
        <v>1.2014291304000002</v>
      </c>
      <c r="F112">
        <v>1.4684133816000002</v>
      </c>
      <c r="H112" cm="1">
        <f t="array" ref="H112">INDEX($A$1:$A$201, ROWS($A$1:$A$201) - ROW(A112)+1)</f>
        <v>-0.3114816264000001</v>
      </c>
      <c r="I112" cm="1">
        <f t="array" ref="I112">INDEX(B$1:B$201, ROWS(B$1:B$201) - ROW(B112)+1)</f>
        <v>-0.44497375200000006</v>
      </c>
      <c r="J112" cm="1">
        <f t="array" ref="J112">INDEX(C$1:C$201, ROWS(C$1:C$201) - ROW(C112)+1)</f>
        <v>-0.66746062799999994</v>
      </c>
      <c r="K112" cm="1">
        <f t="array" ref="K112">INDEX(D$1:D$201, ROWS(D$1:D$201) - ROW(D112)+1)</f>
        <v>-0.84545012880000014</v>
      </c>
      <c r="L112" cm="1">
        <f t="array" ref="L112">INDEX(E$1:E$201, ROWS(E$1:E$201) - ROW(E112)+1)</f>
        <v>-1.0234396296000001</v>
      </c>
      <c r="M112" cm="1">
        <f t="array" ref="M112">INDEX(F$1:F$201, ROWS(F$1:F$201) - ROW(F112)+1)</f>
        <v>-1.2014291304000002</v>
      </c>
      <c r="N112" s="1"/>
      <c r="O112" s="1">
        <v>0.40047637679999998</v>
      </c>
      <c r="P112">
        <v>0.53396850240000004</v>
      </c>
      <c r="Q112">
        <v>0.80095275360000007</v>
      </c>
      <c r="R112">
        <v>0.97894225440000004</v>
      </c>
      <c r="S112">
        <v>1.2014291304000002</v>
      </c>
      <c r="T112">
        <v>1.4684133816000002</v>
      </c>
    </row>
    <row r="113" spans="1:20" x14ac:dyDescent="0.25">
      <c r="A113" s="1">
        <v>0.53396850240000004</v>
      </c>
      <c r="B113">
        <v>0.71195800320000002</v>
      </c>
      <c r="C113">
        <v>0.97894225440000004</v>
      </c>
      <c r="D113">
        <v>1.2459265056</v>
      </c>
      <c r="E113">
        <v>1.4684133816000002</v>
      </c>
      <c r="F113">
        <v>1.7798950080000002</v>
      </c>
      <c r="H113" cm="1">
        <f t="array" ref="H113">INDEX($A$1:$A$201, ROWS($A$1:$A$201) - ROW(A113)+1)</f>
        <v>-0.44497375200000006</v>
      </c>
      <c r="I113" cm="1">
        <f t="array" ref="I113">INDEX(B$1:B$201, ROWS(B$1:B$201) - ROW(B113)+1)</f>
        <v>-0.57846587760000001</v>
      </c>
      <c r="J113" cm="1">
        <f t="array" ref="J113">INDEX(C$1:C$201, ROWS(C$1:C$201) - ROW(C113)+1)</f>
        <v>-0.80095275359999996</v>
      </c>
      <c r="K113" cm="1">
        <f t="array" ref="K113">INDEX(D$1:D$201, ROWS(D$1:D$201) - ROW(D113)+1)</f>
        <v>-1.0234396296000001</v>
      </c>
      <c r="L113" cm="1">
        <f t="array" ref="L113">INDEX(E$1:E$201, ROWS(E$1:E$201) - ROW(E113)+1)</f>
        <v>-1.2459265056000004</v>
      </c>
      <c r="M113" cm="1">
        <f t="array" ref="M113">INDEX(F$1:F$201, ROWS(F$1:F$201) - ROW(F113)+1)</f>
        <v>-1.4239160063999996</v>
      </c>
      <c r="N113" s="1"/>
      <c r="O113" s="1">
        <v>0.53396850240000004</v>
      </c>
      <c r="P113">
        <v>0.71195800320000002</v>
      </c>
      <c r="Q113">
        <v>0.97894225440000004</v>
      </c>
      <c r="R113">
        <v>1.2459265056</v>
      </c>
      <c r="S113">
        <v>1.4684133816000002</v>
      </c>
      <c r="T113">
        <v>1.7798950080000002</v>
      </c>
    </row>
    <row r="114" spans="1:20" x14ac:dyDescent="0.25">
      <c r="A114" s="1">
        <v>0.66746062800000017</v>
      </c>
      <c r="B114">
        <v>0.93444487920000008</v>
      </c>
      <c r="C114">
        <v>1.2014291304</v>
      </c>
      <c r="D114">
        <v>1.5129107568</v>
      </c>
      <c r="E114">
        <v>1.7798950080000002</v>
      </c>
      <c r="F114">
        <v>2.0913766344</v>
      </c>
      <c r="H114" cm="1">
        <f t="array" ref="H114">INDEX($A$1:$A$201, ROWS($A$1:$A$201) - ROW(A114)+1)</f>
        <v>-0.53396850240000004</v>
      </c>
      <c r="I114" cm="1">
        <f t="array" ref="I114">INDEX(B$1:B$201, ROWS(B$1:B$201) - ROW(B114)+1)</f>
        <v>-0.71195800320000002</v>
      </c>
      <c r="J114" cm="1">
        <f t="array" ref="J114">INDEX(C$1:C$201, ROWS(C$1:C$201) - ROW(C114)+1)</f>
        <v>-0.97894225440000004</v>
      </c>
      <c r="K114" cm="1">
        <f t="array" ref="K114">INDEX(D$1:D$201, ROWS(D$1:D$201) - ROW(D114)+1)</f>
        <v>-1.2459265056000004</v>
      </c>
      <c r="L114" cm="1">
        <f t="array" ref="L114">INDEX(E$1:E$201, ROWS(E$1:E$201) - ROW(E114)+1)</f>
        <v>-1.5129107568000002</v>
      </c>
      <c r="M114" cm="1">
        <f t="array" ref="M114">INDEX(F$1:F$201, ROWS(F$1:F$201) - ROW(F114)+1)</f>
        <v>-1.6909002576000003</v>
      </c>
      <c r="N114" s="1"/>
      <c r="O114" s="1">
        <v>0.66746062800000017</v>
      </c>
      <c r="P114">
        <v>0.93444487920000008</v>
      </c>
      <c r="Q114">
        <v>1.2014291304</v>
      </c>
      <c r="R114">
        <v>1.5129107568</v>
      </c>
      <c r="S114">
        <v>1.7798950080000002</v>
      </c>
      <c r="T114">
        <v>2.0913766344</v>
      </c>
    </row>
    <row r="115" spans="1:20" x14ac:dyDescent="0.25">
      <c r="A115" s="1">
        <v>0.7564553784000001</v>
      </c>
      <c r="B115">
        <v>1.1124343800000001</v>
      </c>
      <c r="C115">
        <v>1.4239160064</v>
      </c>
      <c r="D115">
        <v>1.779895008</v>
      </c>
      <c r="E115">
        <v>2.0913766344</v>
      </c>
      <c r="F115">
        <v>2.4473556359999997</v>
      </c>
      <c r="H115" cm="1">
        <f t="array" ref="H115">INDEX($A$1:$A$201, ROWS($A$1:$A$201) - ROW(A115)+1)</f>
        <v>-0.6229632528000002</v>
      </c>
      <c r="I115" cm="1">
        <f t="array" ref="I115">INDEX(B$1:B$201, ROWS(B$1:B$201) - ROW(B115)+1)</f>
        <v>-0.88994750400000011</v>
      </c>
      <c r="J115" cm="1">
        <f t="array" ref="J115">INDEX(C$1:C$201, ROWS(C$1:C$201) - ROW(C115)+1)</f>
        <v>-1.2014291304000002</v>
      </c>
      <c r="K115" cm="1">
        <f t="array" ref="K115">INDEX(D$1:D$201, ROWS(D$1:D$201) - ROW(D115)+1)</f>
        <v>-1.4684133816000002</v>
      </c>
      <c r="L115" cm="1">
        <f t="array" ref="L115">INDEX(E$1:E$201, ROWS(E$1:E$201) - ROW(E115)+1)</f>
        <v>-1.7798950080000002</v>
      </c>
      <c r="M115" cm="1">
        <f t="array" ref="M115">INDEX(F$1:F$201, ROWS(F$1:F$201) - ROW(F115)+1)</f>
        <v>-2.0023818840000001</v>
      </c>
      <c r="N115" s="1"/>
      <c r="O115" s="1">
        <v>0.7564553784000001</v>
      </c>
      <c r="P115">
        <v>1.1124343800000001</v>
      </c>
      <c r="Q115">
        <v>1.4239160064</v>
      </c>
      <c r="R115">
        <v>1.779895008</v>
      </c>
      <c r="S115">
        <v>2.0913766344</v>
      </c>
      <c r="T115">
        <v>2.4473556359999997</v>
      </c>
    </row>
    <row r="116" spans="1:20" x14ac:dyDescent="0.25">
      <c r="A116" s="1">
        <v>0.88994750400000011</v>
      </c>
      <c r="B116">
        <v>1.2904238808000004</v>
      </c>
      <c r="C116">
        <v>1.7353976327999998</v>
      </c>
      <c r="D116">
        <v>2.1358740096000002</v>
      </c>
      <c r="E116">
        <v>2.4473556360000002</v>
      </c>
      <c r="F116">
        <v>2.8033346376000003</v>
      </c>
      <c r="H116" cm="1">
        <f t="array" ref="H116">INDEX($A$1:$A$201, ROWS($A$1:$A$201) - ROW(A116)+1)</f>
        <v>-0.71195800320000002</v>
      </c>
      <c r="I116" cm="1">
        <f t="array" ref="I116">INDEX(B$1:B$201, ROWS(B$1:B$201) - ROW(B116)+1)</f>
        <v>-1.0679370048000001</v>
      </c>
      <c r="J116" cm="1">
        <f t="array" ref="J116">INDEX(C$1:C$201, ROWS(C$1:C$201) - ROW(C116)+1)</f>
        <v>-1.4239160063999996</v>
      </c>
      <c r="K116" cm="1">
        <f t="array" ref="K116">INDEX(D$1:D$201, ROWS(D$1:D$201) - ROW(D116)+1)</f>
        <v>-1.7798950080000002</v>
      </c>
      <c r="L116" cm="1">
        <f t="array" ref="L116">INDEX(E$1:E$201, ROWS(E$1:E$201) - ROW(E116)+1)</f>
        <v>-2.0468792592000002</v>
      </c>
      <c r="M116" cm="1">
        <f t="array" ref="M116">INDEX(F$1:F$201, ROWS(F$1:F$201) - ROW(F116)+1)</f>
        <v>-2.3138635104</v>
      </c>
      <c r="N116" s="1"/>
      <c r="O116" s="1">
        <v>0.88994750400000011</v>
      </c>
      <c r="P116">
        <v>1.2904238808000004</v>
      </c>
      <c r="Q116">
        <v>1.7353976327999998</v>
      </c>
      <c r="R116">
        <v>2.1358740096000002</v>
      </c>
      <c r="S116">
        <v>2.4473556360000002</v>
      </c>
      <c r="T116">
        <v>2.8033346376000003</v>
      </c>
    </row>
    <row r="117" spans="1:20" x14ac:dyDescent="0.25">
      <c r="A117" s="1">
        <v>1.0679370048000001</v>
      </c>
      <c r="B117">
        <v>1.5129107568000002</v>
      </c>
      <c r="C117">
        <v>1.9578845088000001</v>
      </c>
      <c r="D117">
        <v>2.4473556359999997</v>
      </c>
      <c r="E117">
        <v>2.8033346376000003</v>
      </c>
      <c r="F117">
        <v>3.1593136392000001</v>
      </c>
      <c r="H117" cm="1">
        <f t="array" ref="H117">INDEX($A$1:$A$201, ROWS($A$1:$A$201) - ROW(A117)+1)</f>
        <v>-0.84545012880000014</v>
      </c>
      <c r="I117" cm="1">
        <f t="array" ref="I117">INDEX(B$1:B$201, ROWS(B$1:B$201) - ROW(B117)+1)</f>
        <v>-1.2014291304000002</v>
      </c>
      <c r="J117" cm="1">
        <f t="array" ref="J117">INDEX(C$1:C$201, ROWS(C$1:C$201) - ROW(C117)+1)</f>
        <v>-1.6019055071999999</v>
      </c>
      <c r="K117" cm="1">
        <f t="array" ref="K117">INDEX(D$1:D$201, ROWS(D$1:D$201) - ROW(D117)+1)</f>
        <v>-2.0468792592000002</v>
      </c>
      <c r="L117" cm="1">
        <f t="array" ref="L117">INDEX(E$1:E$201, ROWS(E$1:E$201) - ROW(E117)+1)</f>
        <v>-2.3583608856000002</v>
      </c>
      <c r="M117" cm="1">
        <f t="array" ref="M117">INDEX(F$1:F$201, ROWS(F$1:F$201) - ROW(F117)+1)</f>
        <v>-2.5808477615999998</v>
      </c>
      <c r="N117" s="1"/>
      <c r="O117" s="1">
        <v>1.0679370048000001</v>
      </c>
      <c r="P117">
        <v>1.5129107568000002</v>
      </c>
      <c r="Q117">
        <v>1.9578845088000001</v>
      </c>
      <c r="R117">
        <v>2.4473556359999997</v>
      </c>
      <c r="S117">
        <v>2.8033346376000003</v>
      </c>
      <c r="T117">
        <v>3.1593136392000001</v>
      </c>
    </row>
    <row r="118" spans="1:20" x14ac:dyDescent="0.25">
      <c r="A118" s="1">
        <v>1.2459265056</v>
      </c>
      <c r="B118">
        <v>1.7353976328000003</v>
      </c>
      <c r="C118">
        <v>2.2248687600000001</v>
      </c>
      <c r="D118">
        <v>2.8478320128000001</v>
      </c>
      <c r="E118">
        <v>3.1148162639999999</v>
      </c>
      <c r="F118">
        <v>3.559790016</v>
      </c>
      <c r="H118" cm="1">
        <f t="array" ref="H118">INDEX($A$1:$A$201, ROWS($A$1:$A$201) - ROW(A118)+1)</f>
        <v>-0.97894225440000004</v>
      </c>
      <c r="I118" cm="1">
        <f t="array" ref="I118">INDEX(B$1:B$201, ROWS(B$1:B$201) - ROW(B118)+1)</f>
        <v>-1.4239160064</v>
      </c>
      <c r="J118" cm="1">
        <f t="array" ref="J118">INDEX(C$1:C$201, ROWS(C$1:C$201) - ROW(C118)+1)</f>
        <v>-1.8243923832000002</v>
      </c>
      <c r="K118" cm="1">
        <f t="array" ref="K118">INDEX(D$1:D$201, ROWS(D$1:D$201) - ROW(D118)+1)</f>
        <v>-2.3138635104</v>
      </c>
      <c r="L118" cm="1">
        <f t="array" ref="L118">INDEX(E$1:E$201, ROWS(E$1:E$201) - ROW(E118)+1)</f>
        <v>-2.6698425119999998</v>
      </c>
      <c r="M118" cm="1">
        <f t="array" ref="M118">INDEX(F$1:F$201, ROWS(F$1:F$201) - ROW(F118)+1)</f>
        <v>-2.8923293880000003</v>
      </c>
      <c r="N118" s="1"/>
      <c r="O118" s="1">
        <v>1.2459265056</v>
      </c>
      <c r="P118">
        <v>1.7353976328000003</v>
      </c>
      <c r="Q118">
        <v>2.2248687600000001</v>
      </c>
      <c r="R118">
        <v>2.8478320128000001</v>
      </c>
      <c r="S118">
        <v>3.1148162639999999</v>
      </c>
      <c r="T118">
        <v>3.559790016</v>
      </c>
    </row>
    <row r="119" spans="1:20" x14ac:dyDescent="0.25">
      <c r="A119" s="1">
        <v>1.4239160064</v>
      </c>
      <c r="B119">
        <v>1.9578845088000001</v>
      </c>
      <c r="C119">
        <v>2.5808477615999998</v>
      </c>
      <c r="D119">
        <v>3.1593136392000001</v>
      </c>
      <c r="E119">
        <v>3.5152926408000003</v>
      </c>
      <c r="F119">
        <v>3.8267742672000002</v>
      </c>
      <c r="H119" cm="1">
        <f t="array" ref="H119">INDEX($A$1:$A$201, ROWS($A$1:$A$201) - ROW(A119)+1)</f>
        <v>-1.1569317552</v>
      </c>
      <c r="I119" cm="1">
        <f t="array" ref="I119">INDEX(B$1:B$201, ROWS(B$1:B$201) - ROW(B119)+1)</f>
        <v>-1.6019055071999999</v>
      </c>
      <c r="J119" cm="1">
        <f t="array" ref="J119">INDEX(C$1:C$201, ROWS(C$1:C$201) - ROW(C119)+1)</f>
        <v>-2.0468792591999998</v>
      </c>
      <c r="K119" cm="1">
        <f t="array" ref="K119">INDEX(D$1:D$201, ROWS(D$1:D$201) - ROW(D119)+1)</f>
        <v>-2.5363503863999997</v>
      </c>
      <c r="L119" cm="1">
        <f t="array" ref="L119">INDEX(E$1:E$201, ROWS(E$1:E$201) - ROW(E119)+1)</f>
        <v>-2.9813241384000002</v>
      </c>
      <c r="M119" cm="1">
        <f t="array" ref="M119">INDEX(F$1:F$201, ROWS(F$1:F$201) - ROW(F119)+1)</f>
        <v>-3.1593136392000001</v>
      </c>
      <c r="N119" s="1"/>
      <c r="O119" s="1">
        <v>1.4239160064</v>
      </c>
      <c r="P119">
        <v>1.9578845088000001</v>
      </c>
      <c r="Q119">
        <v>2.5808477615999998</v>
      </c>
      <c r="R119">
        <v>3.1593136392000001</v>
      </c>
      <c r="S119">
        <v>3.5152926408000003</v>
      </c>
      <c r="T119">
        <v>3.8267742672000002</v>
      </c>
    </row>
    <row r="120" spans="1:20" x14ac:dyDescent="0.25">
      <c r="A120" s="1">
        <v>1.6019055071999999</v>
      </c>
      <c r="B120">
        <v>2.1803713847999999</v>
      </c>
      <c r="C120">
        <v>2.8478320128000001</v>
      </c>
      <c r="D120">
        <v>3.5152926408000003</v>
      </c>
      <c r="E120">
        <v>3.8267742672000002</v>
      </c>
      <c r="F120">
        <v>4.1827532688</v>
      </c>
      <c r="H120" cm="1">
        <f t="array" ref="H120">INDEX($A$1:$A$201, ROWS($A$1:$A$201) - ROW(A120)+1)</f>
        <v>-1.3349212559999999</v>
      </c>
      <c r="I120" cm="1">
        <f t="array" ref="I120">INDEX(B$1:B$201, ROWS(B$1:B$201) - ROW(B120)+1)</f>
        <v>-1.7353976328000003</v>
      </c>
      <c r="J120" cm="1">
        <f t="array" ref="J120">INDEX(C$1:C$201, ROWS(C$1:C$201) - ROW(C120)+1)</f>
        <v>-2.3138635104</v>
      </c>
      <c r="K120" cm="1">
        <f t="array" ref="K120">INDEX(D$1:D$201, ROWS(D$1:D$201) - ROW(D120)+1)</f>
        <v>-2.8923293880000003</v>
      </c>
      <c r="L120" cm="1">
        <f t="array" ref="L120">INDEX(E$1:E$201, ROWS(E$1:E$201) - ROW(E120)+1)</f>
        <v>-3.2928057647999998</v>
      </c>
      <c r="M120" cm="1">
        <f t="array" ref="M120">INDEX(F$1:F$201, ROWS(F$1:F$201) - ROW(F120)+1)</f>
        <v>-3.5152926407999994</v>
      </c>
      <c r="N120" s="1"/>
      <c r="O120" s="1">
        <v>1.6019055071999999</v>
      </c>
      <c r="P120">
        <v>2.1803713847999999</v>
      </c>
      <c r="Q120">
        <v>2.8478320128000001</v>
      </c>
      <c r="R120">
        <v>3.5152926408000003</v>
      </c>
      <c r="S120">
        <v>3.8267742672000002</v>
      </c>
      <c r="T120">
        <v>4.1827532688</v>
      </c>
    </row>
    <row r="121" spans="1:20" x14ac:dyDescent="0.25">
      <c r="A121" s="1">
        <v>1.779895008</v>
      </c>
      <c r="B121">
        <v>2.4918530112000008</v>
      </c>
      <c r="C121">
        <v>3.2038110143999998</v>
      </c>
      <c r="D121">
        <v>3.9157690176000002</v>
      </c>
      <c r="E121">
        <v>4.1827532688</v>
      </c>
      <c r="F121">
        <v>4.5832296456000003</v>
      </c>
      <c r="H121" cm="1">
        <f t="array" ref="H121">INDEX($A$1:$A$201, ROWS($A$1:$A$201) - ROW(A121)+1)</f>
        <v>-1.5129107568000002</v>
      </c>
      <c r="I121" cm="1">
        <f t="array" ref="I121">INDEX(B$1:B$201, ROWS(B$1:B$201) - ROW(B121)+1)</f>
        <v>-2.0023818840000001</v>
      </c>
      <c r="J121" cm="1">
        <f t="array" ref="J121">INDEX(C$1:C$201, ROWS(C$1:C$201) - ROW(C121)+1)</f>
        <v>-2.5363503863999997</v>
      </c>
      <c r="K121" cm="1">
        <f t="array" ref="K121">INDEX(D$1:D$201, ROWS(D$1:D$201) - ROW(D121)+1)</f>
        <v>-3.1593136392000001</v>
      </c>
      <c r="L121" cm="1">
        <f t="array" ref="L121">INDEX(E$1:E$201, ROWS(E$1:E$201) - ROW(E121)+1)</f>
        <v>-3.6042873912000006</v>
      </c>
      <c r="M121" cm="1">
        <f t="array" ref="M121">INDEX(F$1:F$201, ROWS(F$1:F$201) - ROW(F121)+1)</f>
        <v>-3.7822768920000001</v>
      </c>
      <c r="N121" s="1"/>
      <c r="O121" s="1">
        <v>1.779895008</v>
      </c>
      <c r="P121">
        <v>2.4918530112000008</v>
      </c>
      <c r="Q121">
        <v>3.2038110143999998</v>
      </c>
      <c r="R121">
        <v>3.9157690176000002</v>
      </c>
      <c r="S121">
        <v>4.1827532688</v>
      </c>
      <c r="T121">
        <v>4.5832296456000003</v>
      </c>
    </row>
    <row r="122" spans="1:20" x14ac:dyDescent="0.25">
      <c r="A122" s="1">
        <v>2.0023818840000001</v>
      </c>
      <c r="B122">
        <v>2.7143398872000004</v>
      </c>
      <c r="C122">
        <v>3.559790016</v>
      </c>
      <c r="D122">
        <v>4.2717480192000004</v>
      </c>
      <c r="E122">
        <v>4.6277270208000001</v>
      </c>
      <c r="F122">
        <v>4.8947112719999994</v>
      </c>
      <c r="H122" cm="1">
        <f t="array" ref="H122">INDEX($A$1:$A$201, ROWS($A$1:$A$201) - ROW(A122)+1)</f>
        <v>-1.6019055071999999</v>
      </c>
      <c r="I122" cm="1">
        <f t="array" ref="I122">INDEX(B$1:B$201, ROWS(B$1:B$201) - ROW(B122)+1)</f>
        <v>-2.2248687600000001</v>
      </c>
      <c r="J122" cm="1">
        <f t="array" ref="J122">INDEX(C$1:C$201, ROWS(C$1:C$201) - ROW(C122)+1)</f>
        <v>-2.8033346376000003</v>
      </c>
      <c r="K122" cm="1">
        <f t="array" ref="K122">INDEX(D$1:D$201, ROWS(D$1:D$201) - ROW(D122)+1)</f>
        <v>-3.4707952656000005</v>
      </c>
      <c r="L122" cm="1">
        <f t="array" ref="L122">INDEX(E$1:E$201, ROWS(E$1:E$201) - ROW(E122)+1)</f>
        <v>-3.9157690176000002</v>
      </c>
      <c r="M122" cm="1">
        <f t="array" ref="M122">INDEX(F$1:F$201, ROWS(F$1:F$201) - ROW(F122)+1)</f>
        <v>-4.0492611431999999</v>
      </c>
      <c r="N122" s="1"/>
      <c r="O122" s="1">
        <v>2.0023818840000001</v>
      </c>
      <c r="P122">
        <v>2.7143398872000004</v>
      </c>
      <c r="Q122">
        <v>3.559790016</v>
      </c>
      <c r="R122">
        <v>4.2717480192000004</v>
      </c>
      <c r="S122">
        <v>4.6277270208000001</v>
      </c>
      <c r="T122">
        <v>4.8947112719999994</v>
      </c>
    </row>
    <row r="123" spans="1:20" x14ac:dyDescent="0.25">
      <c r="A123" s="1">
        <v>2.1803713847999999</v>
      </c>
      <c r="B123">
        <v>3.0258215136000004</v>
      </c>
      <c r="C123">
        <v>3.8712716424</v>
      </c>
      <c r="D123">
        <v>4.6277270208000001</v>
      </c>
      <c r="E123">
        <v>4.9837060224000016</v>
      </c>
      <c r="F123">
        <v>5.2506902735999992</v>
      </c>
      <c r="H123" cm="1">
        <f t="array" ref="H123">INDEX($A$1:$A$201, ROWS($A$1:$A$201) - ROW(A123)+1)</f>
        <v>-1.7798950080000002</v>
      </c>
      <c r="I123" cm="1">
        <f t="array" ref="I123">INDEX(B$1:B$201, ROWS(B$1:B$201) - ROW(B123)+1)</f>
        <v>-2.4028582608000004</v>
      </c>
      <c r="J123" cm="1">
        <f t="array" ref="J123">INDEX(C$1:C$201, ROWS(C$1:C$201) - ROW(C123)+1)</f>
        <v>-3.1148162639999999</v>
      </c>
      <c r="K123" cm="1">
        <f t="array" ref="K123">INDEX(D$1:D$201, ROWS(D$1:D$201) - ROW(D123)+1)</f>
        <v>-3.7822768920000001</v>
      </c>
      <c r="L123" cm="1">
        <f t="array" ref="L123">INDEX(E$1:E$201, ROWS(E$1:E$201) - ROW(E123)+1)</f>
        <v>-4.2272506439999997</v>
      </c>
      <c r="M123" cm="1">
        <f t="array" ref="M123">INDEX(F$1:F$201, ROWS(F$1:F$201) - ROW(F123)+1)</f>
        <v>-4.3607427695999998</v>
      </c>
      <c r="N123" s="1"/>
      <c r="O123" s="1">
        <v>2.1803713847999999</v>
      </c>
      <c r="P123">
        <v>3.0258215136000004</v>
      </c>
      <c r="Q123">
        <v>3.8712716424</v>
      </c>
      <c r="R123">
        <v>4.6277270208000001</v>
      </c>
      <c r="S123">
        <v>4.9837060224000016</v>
      </c>
      <c r="T123">
        <v>5.2506902735999992</v>
      </c>
    </row>
    <row r="124" spans="1:20" x14ac:dyDescent="0.25">
      <c r="A124" s="1">
        <v>2.4028582608000004</v>
      </c>
      <c r="B124">
        <v>3.2483083896</v>
      </c>
      <c r="C124">
        <v>4.1827532688</v>
      </c>
      <c r="D124">
        <v>5.0282033975999996</v>
      </c>
      <c r="E124">
        <v>5.3841823992000002</v>
      </c>
      <c r="F124">
        <v>5.6066692752000007</v>
      </c>
      <c r="H124" cm="1">
        <f t="array" ref="H124">INDEX($A$1:$A$201, ROWS($A$1:$A$201) - ROW(A124)+1)</f>
        <v>-1.9578845088000001</v>
      </c>
      <c r="I124" cm="1">
        <f t="array" ref="I124">INDEX(B$1:B$201, ROWS(B$1:B$201) - ROW(B124)+1)</f>
        <v>-2.6253451367999996</v>
      </c>
      <c r="J124" cm="1">
        <f t="array" ref="J124">INDEX(C$1:C$201, ROWS(C$1:C$201) - ROW(C124)+1)</f>
        <v>-3.4262978904000003</v>
      </c>
      <c r="K124" cm="1">
        <f t="array" ref="K124">INDEX(D$1:D$201, ROWS(D$1:D$201) - ROW(D124)+1)</f>
        <v>-4.0937585184000005</v>
      </c>
      <c r="L124" cm="1">
        <f t="array" ref="L124">INDEX(E$1:E$201, ROWS(E$1:E$201) - ROW(E124)+1)</f>
        <v>-4.5387322704000006</v>
      </c>
      <c r="M124" cm="1">
        <f t="array" ref="M124">INDEX(F$1:F$201, ROWS(F$1:F$201) - ROW(F124)+1)</f>
        <v>-4.6277270208000001</v>
      </c>
      <c r="N124" s="1"/>
      <c r="O124" s="1">
        <v>2.4028582608000004</v>
      </c>
      <c r="P124">
        <v>3.2483083896</v>
      </c>
      <c r="Q124">
        <v>4.1827532688</v>
      </c>
      <c r="R124">
        <v>5.0282033975999996</v>
      </c>
      <c r="S124">
        <v>5.3841823992000002</v>
      </c>
      <c r="T124">
        <v>5.6066692752000007</v>
      </c>
    </row>
    <row r="125" spans="1:20" x14ac:dyDescent="0.25">
      <c r="A125" s="1">
        <v>2.5808477615999998</v>
      </c>
      <c r="B125">
        <v>3.6042873912000006</v>
      </c>
      <c r="C125">
        <v>4.5387322704000006</v>
      </c>
      <c r="D125">
        <v>5.4731771495999997</v>
      </c>
      <c r="E125">
        <v>5.7401614007999999</v>
      </c>
      <c r="F125">
        <v>5.9626482767999995</v>
      </c>
      <c r="H125" cm="1">
        <f t="array" ref="H125">INDEX($A$1:$A$201, ROWS($A$1:$A$201) - ROW(A125)+1)</f>
        <v>-2.0913766344</v>
      </c>
      <c r="I125" cm="1">
        <f t="array" ref="I125">INDEX(B$1:B$201, ROWS(B$1:B$201) - ROW(B125)+1)</f>
        <v>-2.8923293880000003</v>
      </c>
      <c r="J125" cm="1">
        <f t="array" ref="J125">INDEX(C$1:C$201, ROWS(C$1:C$201) - ROW(C125)+1)</f>
        <v>-3.6487847663999999</v>
      </c>
      <c r="K125" cm="1">
        <f t="array" ref="K125">INDEX(D$1:D$201, ROWS(D$1:D$201) - ROW(D125)+1)</f>
        <v>-4.3607427695999998</v>
      </c>
      <c r="L125" cm="1">
        <f t="array" ref="L125">INDEX(E$1:E$201, ROWS(E$1:E$201) - ROW(E125)+1)</f>
        <v>-4.8502138968000006</v>
      </c>
      <c r="M125" cm="1">
        <f t="array" ref="M125">INDEX(F$1:F$201, ROWS(F$1:F$201) - ROW(F125)+1)</f>
        <v>-4.9392086472000001</v>
      </c>
      <c r="N125" s="1"/>
      <c r="O125" s="1">
        <v>2.5808477615999998</v>
      </c>
      <c r="P125">
        <v>3.6042873912000006</v>
      </c>
      <c r="Q125">
        <v>4.5387322704000006</v>
      </c>
      <c r="R125">
        <v>5.4731771495999997</v>
      </c>
      <c r="S125">
        <v>5.7401614007999999</v>
      </c>
      <c r="T125">
        <v>5.9626482767999995</v>
      </c>
    </row>
    <row r="126" spans="1:20" x14ac:dyDescent="0.25">
      <c r="A126" s="1">
        <v>2.8478320128000001</v>
      </c>
      <c r="B126">
        <v>3.8712716424</v>
      </c>
      <c r="C126">
        <v>4.8947112720000003</v>
      </c>
      <c r="D126">
        <v>5.9181509015999998</v>
      </c>
      <c r="E126">
        <v>6.1406377776000003</v>
      </c>
      <c r="F126">
        <v>6.2741299032000004</v>
      </c>
      <c r="H126" cm="1">
        <f t="array" ref="H126">INDEX($A$1:$A$201, ROWS($A$1:$A$201) - ROW(A126)+1)</f>
        <v>-2.3138635104</v>
      </c>
      <c r="I126" cm="1">
        <f t="array" ref="I126">INDEX(B$1:B$201, ROWS(B$1:B$201) - ROW(B126)+1)</f>
        <v>-3.1148162639999999</v>
      </c>
      <c r="J126" cm="1">
        <f t="array" ref="J126">INDEX(C$1:C$201, ROWS(C$1:C$201) - ROW(C126)+1)</f>
        <v>-3.9157690176000002</v>
      </c>
      <c r="K126" cm="1">
        <f t="array" ref="K126">INDEX(D$1:D$201, ROWS(D$1:D$201) - ROW(D126)+1)</f>
        <v>-4.7167217712000005</v>
      </c>
      <c r="L126" cm="1">
        <f t="array" ref="L126">INDEX(E$1:E$201, ROWS(E$1:E$201) - ROW(E126)+1)</f>
        <v>-5.2061928984000003</v>
      </c>
      <c r="M126" cm="1">
        <f t="array" ref="M126">INDEX(F$1:F$201, ROWS(F$1:F$201) - ROW(F126)+1)</f>
        <v>-5.2061928984000003</v>
      </c>
      <c r="N126" s="1"/>
      <c r="O126" s="1">
        <v>2.8478320128000001</v>
      </c>
      <c r="P126">
        <v>3.8712716424</v>
      </c>
      <c r="Q126">
        <v>4.8947112720000003</v>
      </c>
      <c r="R126">
        <v>5.9181509015999998</v>
      </c>
      <c r="S126">
        <v>6.1406377776000003</v>
      </c>
      <c r="T126">
        <v>6.2741299032000004</v>
      </c>
    </row>
    <row r="127" spans="1:20" x14ac:dyDescent="0.25">
      <c r="A127" s="1">
        <v>3.0703188887999997</v>
      </c>
      <c r="B127">
        <v>4.1827532688</v>
      </c>
      <c r="C127">
        <v>5.2061928984000003</v>
      </c>
      <c r="D127">
        <v>6.2741299032000004</v>
      </c>
      <c r="E127">
        <v>6.5411141544000007</v>
      </c>
      <c r="F127">
        <v>6.4966167792</v>
      </c>
      <c r="H127" cm="1">
        <f t="array" ref="H127">INDEX($A$1:$A$201, ROWS($A$1:$A$201) - ROW(A127)+1)</f>
        <v>-2.4473556360000002</v>
      </c>
      <c r="I127" cm="1">
        <f t="array" ref="I127">INDEX(B$1:B$201, ROWS(B$1:B$201) - ROW(B127)+1)</f>
        <v>-3.3373031399999999</v>
      </c>
      <c r="J127" cm="1">
        <f t="array" ref="J127">INDEX(C$1:C$201, ROWS(C$1:C$201) - ROW(C127)+1)</f>
        <v>-4.1827532688</v>
      </c>
      <c r="K127" cm="1">
        <f t="array" ref="K127">INDEX(D$1:D$201, ROWS(D$1:D$201) - ROW(D127)+1)</f>
        <v>-5.0282033975999996</v>
      </c>
      <c r="L127" cm="1">
        <f t="array" ref="L127">INDEX(E$1:E$201, ROWS(E$1:E$201) - ROW(E127)+1)</f>
        <v>-5.4731771495999997</v>
      </c>
      <c r="M127" cm="1">
        <f t="array" ref="M127">INDEX(F$1:F$201, ROWS(F$1:F$201) - ROW(F127)+1)</f>
        <v>-5.4731771495999997</v>
      </c>
      <c r="N127" s="1"/>
      <c r="O127" s="1">
        <v>3.0703188887999997</v>
      </c>
      <c r="P127">
        <v>4.1827532688</v>
      </c>
      <c r="Q127">
        <v>5.2061928984000003</v>
      </c>
      <c r="R127">
        <v>6.2741299032000004</v>
      </c>
      <c r="S127">
        <v>6.5411141544000007</v>
      </c>
      <c r="T127">
        <v>6.4966167792</v>
      </c>
    </row>
    <row r="128" spans="1:20" x14ac:dyDescent="0.25">
      <c r="A128" s="1">
        <v>3.2928057647999998</v>
      </c>
      <c r="B128">
        <v>4.4942348952000009</v>
      </c>
      <c r="C128">
        <v>5.6511666504000004</v>
      </c>
      <c r="D128">
        <v>6.6746062799999999</v>
      </c>
      <c r="E128">
        <v>6.8525957808000006</v>
      </c>
      <c r="F128">
        <v>6.8525957808000006</v>
      </c>
      <c r="H128" cm="1">
        <f t="array" ref="H128">INDEX($A$1:$A$201, ROWS($A$1:$A$201) - ROW(A128)+1)</f>
        <v>-2.7143398872000004</v>
      </c>
      <c r="I128" cm="1">
        <f t="array" ref="I128">INDEX(B$1:B$201, ROWS(B$1:B$201) - ROW(B128)+1)</f>
        <v>-3.6042873912000006</v>
      </c>
      <c r="J128" cm="1">
        <f t="array" ref="J128">INDEX(C$1:C$201, ROWS(C$1:C$201) - ROW(C128)+1)</f>
        <v>-4.5387322704000006</v>
      </c>
      <c r="K128" cm="1">
        <f t="array" ref="K128">INDEX(D$1:D$201, ROWS(D$1:D$201) - ROW(D128)+1)</f>
        <v>-5.2951876487999998</v>
      </c>
      <c r="L128" cm="1">
        <f t="array" ref="L128">INDEX(E$1:E$201, ROWS(E$1:E$201) - ROW(E128)+1)</f>
        <v>-5.8736535264000009</v>
      </c>
      <c r="M128" cm="1">
        <f t="array" ref="M128">INDEX(F$1:F$201, ROWS(F$1:F$201) - ROW(F128)+1)</f>
        <v>-5.7846587760000006</v>
      </c>
      <c r="N128" s="1"/>
      <c r="O128" s="1">
        <v>3.2928057647999998</v>
      </c>
      <c r="P128">
        <v>4.4942348952000009</v>
      </c>
      <c r="Q128">
        <v>5.6511666504000004</v>
      </c>
      <c r="R128">
        <v>6.6746062799999999</v>
      </c>
      <c r="S128">
        <v>6.8525957808000006</v>
      </c>
      <c r="T128">
        <v>6.8525957808000006</v>
      </c>
    </row>
    <row r="129" spans="1:20" x14ac:dyDescent="0.25">
      <c r="A129" s="1">
        <v>3.559790016</v>
      </c>
      <c r="B129">
        <v>4.8057165216000008</v>
      </c>
      <c r="C129">
        <v>6.0961404024000005</v>
      </c>
      <c r="D129">
        <v>7.0750826568000003</v>
      </c>
      <c r="E129">
        <v>7.4310616584</v>
      </c>
      <c r="F129">
        <v>7.2530721575999992</v>
      </c>
      <c r="H129" cm="1">
        <f t="array" ref="H129">INDEX($A$1:$A$201, ROWS($A$1:$A$201) - ROW(A129)+1)</f>
        <v>-2.8923293880000003</v>
      </c>
      <c r="I129" cm="1">
        <f t="array" ref="I129">INDEX(B$1:B$201, ROWS(B$1:B$201) - ROW(B129)+1)</f>
        <v>-3.8267742672000002</v>
      </c>
      <c r="J129" cm="1">
        <f t="array" ref="J129">INDEX(C$1:C$201, ROWS(C$1:C$201) - ROW(C129)+1)</f>
        <v>-4.8057165216000008</v>
      </c>
      <c r="K129" cm="1">
        <f t="array" ref="K129">INDEX(D$1:D$201, ROWS(D$1:D$201) - ROW(D129)+1)</f>
        <v>-5.6956640256000002</v>
      </c>
      <c r="L129" cm="1">
        <f t="array" ref="L129">INDEX(E$1:E$201, ROWS(E$1:E$201) - ROW(E129)+1)</f>
        <v>-6.2296325279999998</v>
      </c>
      <c r="M129" cm="1">
        <f t="array" ref="M129">INDEX(F$1:F$201, ROWS(F$1:F$201) - ROW(F129)+1)</f>
        <v>-6.1851351527999991</v>
      </c>
      <c r="N129" s="1"/>
      <c r="O129" s="1">
        <v>3.559790016</v>
      </c>
      <c r="P129">
        <v>4.8057165216000008</v>
      </c>
      <c r="Q129">
        <v>6.0961404024000005</v>
      </c>
      <c r="R129">
        <v>7.0750826568000003</v>
      </c>
      <c r="S129">
        <v>7.4310616584</v>
      </c>
      <c r="T129">
        <v>7.2530721575999992</v>
      </c>
    </row>
    <row r="130" spans="1:20" x14ac:dyDescent="0.25">
      <c r="A130" s="1">
        <v>3.7822768920000001</v>
      </c>
      <c r="B130">
        <v>5.0727007727999993</v>
      </c>
      <c r="C130">
        <v>6.3186272784000002</v>
      </c>
      <c r="D130">
        <v>7.6090511592000007</v>
      </c>
      <c r="E130">
        <v>7.876035410400001</v>
      </c>
      <c r="F130">
        <v>7.6535485344000005</v>
      </c>
      <c r="H130" cm="1">
        <f t="array" ref="H130">INDEX($A$1:$A$201, ROWS($A$1:$A$201) - ROW(A130)+1)</f>
        <v>-3.0703188887999997</v>
      </c>
      <c r="I130" cm="1">
        <f t="array" ref="I130">INDEX(B$1:B$201, ROWS(B$1:B$201) - ROW(B130)+1)</f>
        <v>-4.0937585184000005</v>
      </c>
      <c r="J130" cm="1">
        <f t="array" ref="J130">INDEX(C$1:C$201, ROWS(C$1:C$201) - ROW(C130)+1)</f>
        <v>-5.0727007727999993</v>
      </c>
      <c r="K130" cm="1">
        <f t="array" ref="K130">INDEX(D$1:D$201, ROWS(D$1:D$201) - ROW(D130)+1)</f>
        <v>-6.0516430272000008</v>
      </c>
      <c r="L130" cm="1">
        <f t="array" ref="L130">INDEX(E$1:E$201, ROWS(E$1:E$201) - ROW(E130)+1)</f>
        <v>-6.5856115295999995</v>
      </c>
      <c r="M130" cm="1">
        <f t="array" ref="M130">INDEX(F$1:F$201, ROWS(F$1:F$201) - ROW(F130)+1)</f>
        <v>-6.4521194040000003</v>
      </c>
      <c r="N130" s="1"/>
      <c r="O130" s="1">
        <v>3.7822768920000001</v>
      </c>
      <c r="P130">
        <v>5.0727007727999993</v>
      </c>
      <c r="Q130">
        <v>6.3186272784000002</v>
      </c>
      <c r="R130">
        <v>7.6090511592000007</v>
      </c>
      <c r="S130">
        <v>7.876035410400001</v>
      </c>
      <c r="T130">
        <v>7.6535485344000005</v>
      </c>
    </row>
    <row r="131" spans="1:20" x14ac:dyDescent="0.25">
      <c r="A131" s="1">
        <v>4.0492611432000007</v>
      </c>
      <c r="B131">
        <v>5.3841823992000002</v>
      </c>
      <c r="C131">
        <v>6.7636010304000012</v>
      </c>
      <c r="D131">
        <v>8.0095275360000002</v>
      </c>
      <c r="E131">
        <v>8.2320144120000016</v>
      </c>
      <c r="F131">
        <v>8.0095275360000002</v>
      </c>
      <c r="H131" cm="1">
        <f t="array" ref="H131">INDEX($A$1:$A$201, ROWS($A$1:$A$201) - ROW(A131)+1)</f>
        <v>-3.2928057647999998</v>
      </c>
      <c r="I131" cm="1">
        <f t="array" ref="I131">INDEX(B$1:B$201, ROWS(B$1:B$201) - ROW(B131)+1)</f>
        <v>-4.3162453944000001</v>
      </c>
      <c r="J131" cm="1">
        <f t="array" ref="J131">INDEX(C$1:C$201, ROWS(C$1:C$201) - ROW(C131)+1)</f>
        <v>-5.3841823992000002</v>
      </c>
      <c r="K131" cm="1">
        <f t="array" ref="K131">INDEX(D$1:D$201, ROWS(D$1:D$201) - ROW(D131)+1)</f>
        <v>-6.3631246535999999</v>
      </c>
      <c r="L131" cm="1">
        <f t="array" ref="L131">INDEX(E$1:E$201, ROWS(E$1:E$201) - ROW(E131)+1)</f>
        <v>-6.8525957808000006</v>
      </c>
      <c r="M131" cm="1">
        <f t="array" ref="M131">INDEX(F$1:F$201, ROWS(F$1:F$201) - ROW(F131)+1)</f>
        <v>-6.7636010304000012</v>
      </c>
      <c r="N131" s="1"/>
      <c r="O131" s="1">
        <v>4.0492611432000007</v>
      </c>
      <c r="P131">
        <v>5.3841823992000002</v>
      </c>
      <c r="Q131">
        <v>6.7636010304000012</v>
      </c>
      <c r="R131">
        <v>8.0095275360000002</v>
      </c>
      <c r="S131">
        <v>8.2320144120000016</v>
      </c>
      <c r="T131">
        <v>8.0095275360000002</v>
      </c>
    </row>
    <row r="132" spans="1:20" x14ac:dyDescent="0.25">
      <c r="A132" s="1">
        <v>4.3607427695999998</v>
      </c>
      <c r="B132">
        <v>5.7846587760000006</v>
      </c>
      <c r="C132">
        <v>7.1195800320000009</v>
      </c>
      <c r="D132">
        <v>8.5434960384000007</v>
      </c>
      <c r="E132">
        <v>8.6324907888000002</v>
      </c>
      <c r="F132">
        <v>8.4545012879999994</v>
      </c>
      <c r="H132" cm="1">
        <f t="array" ref="H132">INDEX($A$1:$A$201, ROWS($A$1:$A$201) - ROW(A132)+1)</f>
        <v>-3.4707952656000005</v>
      </c>
      <c r="I132" cm="1">
        <f t="array" ref="I132">INDEX(B$1:B$201, ROWS(B$1:B$201) - ROW(B132)+1)</f>
        <v>-4.6277270208000001</v>
      </c>
      <c r="J132" cm="1">
        <f t="array" ref="J132">INDEX(C$1:C$201, ROWS(C$1:C$201) - ROW(C132)+1)</f>
        <v>-5.7401614007999999</v>
      </c>
      <c r="K132" cm="1">
        <f t="array" ref="K132">INDEX(D$1:D$201, ROWS(D$1:D$201) - ROW(D132)+1)</f>
        <v>-6.6746062799999999</v>
      </c>
      <c r="L132" cm="1">
        <f t="array" ref="L132">INDEX(E$1:E$201, ROWS(E$1:E$201) - ROW(E132)+1)</f>
        <v>-7.2530721576000001</v>
      </c>
      <c r="M132" cm="1">
        <f t="array" ref="M132">INDEX(F$1:F$201, ROWS(F$1:F$201) - ROW(F132)+1)</f>
        <v>-7.0305852816000005</v>
      </c>
      <c r="N132" s="1"/>
      <c r="O132" s="1">
        <v>4.3607427695999998</v>
      </c>
      <c r="P132">
        <v>5.7846587760000006</v>
      </c>
      <c r="Q132">
        <v>7.1195800320000009</v>
      </c>
      <c r="R132">
        <v>8.5434960384000007</v>
      </c>
      <c r="S132">
        <v>8.6324907888000002</v>
      </c>
      <c r="T132">
        <v>8.4545012879999994</v>
      </c>
    </row>
    <row r="133" spans="1:20" x14ac:dyDescent="0.25">
      <c r="A133" s="1">
        <v>4.5832296456000003</v>
      </c>
      <c r="B133">
        <v>6.1406377776000003</v>
      </c>
      <c r="C133">
        <v>7.5200564087999995</v>
      </c>
      <c r="D133">
        <v>8.8994750400000004</v>
      </c>
      <c r="E133">
        <v>8.9884697903999982</v>
      </c>
      <c r="F133">
        <v>8.7214855391999997</v>
      </c>
      <c r="H133" cm="1">
        <f t="array" ref="H133">INDEX($A$1:$A$201, ROWS($A$1:$A$201) - ROW(A133)+1)</f>
        <v>-3.7377795167999999</v>
      </c>
      <c r="I133" cm="1">
        <f t="array" ref="I133">INDEX(B$1:B$201, ROWS(B$1:B$201) - ROW(B133)+1)</f>
        <v>-4.8502138968000006</v>
      </c>
      <c r="J133" cm="1">
        <f t="array" ref="J133">INDEX(C$1:C$201, ROWS(C$1:C$201) - ROW(C133)+1)</f>
        <v>-6.0961404024000005</v>
      </c>
      <c r="K133" cm="1">
        <f t="array" ref="K133">INDEX(D$1:D$201, ROWS(D$1:D$201) - ROW(D133)+1)</f>
        <v>-7.0305852816000005</v>
      </c>
      <c r="L133" cm="1">
        <f t="array" ref="L133">INDEX(E$1:E$201, ROWS(E$1:E$201) - ROW(E133)+1)</f>
        <v>-7.5645537840000001</v>
      </c>
      <c r="M133" cm="1">
        <f t="array" ref="M133">INDEX(F$1:F$201, ROWS(F$1:F$201) - ROW(F133)+1)</f>
        <v>-7.3865642832000002</v>
      </c>
      <c r="N133" s="1"/>
      <c r="O133" s="1">
        <v>4.5832296456000003</v>
      </c>
      <c r="P133">
        <v>6.1406377776000003</v>
      </c>
      <c r="Q133">
        <v>7.5200564087999995</v>
      </c>
      <c r="R133">
        <v>8.8994750400000004</v>
      </c>
      <c r="S133">
        <v>8.9884697903999982</v>
      </c>
      <c r="T133">
        <v>8.7214855391999997</v>
      </c>
    </row>
    <row r="134" spans="1:20" x14ac:dyDescent="0.25">
      <c r="A134" s="1">
        <v>4.8502138968000006</v>
      </c>
      <c r="B134">
        <v>6.4076220287999996</v>
      </c>
      <c r="C134">
        <v>8.0985222864000015</v>
      </c>
      <c r="D134">
        <v>9.299951416799999</v>
      </c>
      <c r="E134">
        <v>9.4779409175999998</v>
      </c>
      <c r="F134">
        <v>9.1664592912000007</v>
      </c>
      <c r="H134" cm="1">
        <f t="array" ref="H134">INDEX($A$1:$A$201, ROWS($A$1:$A$201) - ROW(A134)+1)</f>
        <v>-3.9157690176000002</v>
      </c>
      <c r="I134" cm="1">
        <f t="array" ref="I134">INDEX(B$1:B$201, ROWS(B$1:B$201) - ROW(B134)+1)</f>
        <v>-5.0727007727999993</v>
      </c>
      <c r="J134" cm="1">
        <f t="array" ref="J134">INDEX(C$1:C$201, ROWS(C$1:C$201) - ROW(C134)+1)</f>
        <v>-6.3631246535999999</v>
      </c>
      <c r="K134" cm="1">
        <f t="array" ref="K134">INDEX(D$1:D$201, ROWS(D$1:D$201) - ROW(D134)+1)</f>
        <v>-7.2975695327999999</v>
      </c>
      <c r="L134" cm="1">
        <f t="array" ref="L134">INDEX(E$1:E$201, ROWS(E$1:E$201) - ROW(E134)+1)</f>
        <v>-7.9650301608000005</v>
      </c>
      <c r="M134" cm="1">
        <f t="array" ref="M134">INDEX(F$1:F$201, ROWS(F$1:F$201) - ROW(F134)+1)</f>
        <v>-7.6535485344000005</v>
      </c>
      <c r="N134" s="1"/>
      <c r="O134" s="1">
        <v>4.8502138968000006</v>
      </c>
      <c r="P134">
        <v>6.4076220287999996</v>
      </c>
      <c r="Q134">
        <v>8.0985222864000015</v>
      </c>
      <c r="R134">
        <v>9.299951416799999</v>
      </c>
      <c r="S134">
        <v>9.4779409175999998</v>
      </c>
      <c r="T134">
        <v>9.1664592912000007</v>
      </c>
    </row>
    <row r="135" spans="1:20" x14ac:dyDescent="0.25">
      <c r="A135" s="1">
        <v>5.1171981479999999</v>
      </c>
      <c r="B135">
        <v>6.7191036552000005</v>
      </c>
      <c r="C135">
        <v>8.3210091623999993</v>
      </c>
      <c r="D135">
        <v>9.7449251688</v>
      </c>
      <c r="E135">
        <v>9.9674120447999996</v>
      </c>
      <c r="F135">
        <v>9.5669356679999993</v>
      </c>
      <c r="H135" cm="1">
        <f t="array" ref="H135">INDEX($A$1:$A$201, ROWS($A$1:$A$201) - ROW(A135)+1)</f>
        <v>-4.1382558936000002</v>
      </c>
      <c r="I135" cm="1">
        <f t="array" ref="I135">INDEX(B$1:B$201, ROWS(B$1:B$201) - ROW(B135)+1)</f>
        <v>-5.3396850239999996</v>
      </c>
      <c r="J135" cm="1">
        <f t="array" ref="J135">INDEX(C$1:C$201, ROWS(C$1:C$201) - ROW(C135)+1)</f>
        <v>-6.6746062799999999</v>
      </c>
      <c r="K135" cm="1">
        <f t="array" ref="K135">INDEX(D$1:D$201, ROWS(D$1:D$201) - ROW(D135)+1)</f>
        <v>-7.6980459095999993</v>
      </c>
      <c r="L135" cm="1">
        <f t="array" ref="L135">INDEX(E$1:E$201, ROWS(E$1:E$201) - ROW(E135)+1)</f>
        <v>-8.4100039127999988</v>
      </c>
      <c r="M135" cm="1">
        <f t="array" ref="M135">INDEX(F$1:F$201, ROWS(F$1:F$201) - ROW(F135)+1)</f>
        <v>-8.1430196616000003</v>
      </c>
      <c r="N135" s="1"/>
      <c r="O135" s="1">
        <v>5.1171981479999999</v>
      </c>
      <c r="P135">
        <v>6.7191036552000005</v>
      </c>
      <c r="Q135">
        <v>8.3210091623999993</v>
      </c>
      <c r="R135">
        <v>9.7449251688</v>
      </c>
      <c r="S135">
        <v>9.9674120447999996</v>
      </c>
      <c r="T135">
        <v>9.5669356679999993</v>
      </c>
    </row>
    <row r="136" spans="1:20" x14ac:dyDescent="0.25">
      <c r="A136" s="1">
        <v>5.3841823992000002</v>
      </c>
      <c r="B136">
        <v>6.9860879064000008</v>
      </c>
      <c r="C136">
        <v>8.7214855391999997</v>
      </c>
      <c r="D136">
        <v>10.145401545599999</v>
      </c>
      <c r="E136">
        <v>10.545877922399999</v>
      </c>
      <c r="F136">
        <v>10.011909420000002</v>
      </c>
      <c r="H136" cm="1">
        <f t="array" ref="H136">INDEX($A$1:$A$201, ROWS($A$1:$A$201) - ROW(A136)+1)</f>
        <v>-4.3607427695999998</v>
      </c>
      <c r="I136" cm="1">
        <f t="array" ref="I136">INDEX(B$1:B$201, ROWS(B$1:B$201) - ROW(B136)+1)</f>
        <v>-5.6066692752000007</v>
      </c>
      <c r="J136" cm="1">
        <f t="array" ref="J136">INDEX(C$1:C$201, ROWS(C$1:C$201) - ROW(C136)+1)</f>
        <v>-6.8970931560000004</v>
      </c>
      <c r="K136" cm="1">
        <f t="array" ref="K136">INDEX(D$1:D$201, ROWS(D$1:D$201) - ROW(D136)+1)</f>
        <v>-8.0540249112000009</v>
      </c>
      <c r="L136" cm="1">
        <f t="array" ref="L136">INDEX(E$1:E$201, ROWS(E$1:E$201) - ROW(E136)+1)</f>
        <v>-8.7659829144000003</v>
      </c>
      <c r="M136" cm="1">
        <f t="array" ref="M136">INDEX(F$1:F$201, ROWS(F$1:F$201) - ROW(F136)+1)</f>
        <v>-8.5879934135999996</v>
      </c>
      <c r="N136" s="1"/>
      <c r="O136" s="1">
        <v>5.3841823992000002</v>
      </c>
      <c r="P136">
        <v>6.9860879064000008</v>
      </c>
      <c r="Q136">
        <v>8.7214855391999997</v>
      </c>
      <c r="R136">
        <v>10.145401545599999</v>
      </c>
      <c r="S136">
        <v>10.545877922399999</v>
      </c>
      <c r="T136">
        <v>10.011909420000002</v>
      </c>
    </row>
    <row r="137" spans="1:20" x14ac:dyDescent="0.25">
      <c r="A137" s="1">
        <v>5.6956640256000002</v>
      </c>
      <c r="B137">
        <v>7.4310616584</v>
      </c>
      <c r="C137">
        <v>9.0329671655999988</v>
      </c>
      <c r="D137">
        <v>10.7683647984</v>
      </c>
      <c r="E137">
        <v>11.1243438</v>
      </c>
      <c r="F137">
        <v>10.412385796800001</v>
      </c>
      <c r="H137" cm="1">
        <f t="array" ref="H137">INDEX($A$1:$A$201, ROWS($A$1:$A$201) - ROW(A137)+1)</f>
        <v>-4.5832296456000003</v>
      </c>
      <c r="I137" cm="1">
        <f t="array" ref="I137">INDEX(B$1:B$201, ROWS(B$1:B$201) - ROW(B137)+1)</f>
        <v>-5.9181509015999998</v>
      </c>
      <c r="J137" cm="1">
        <f t="array" ref="J137">INDEX(C$1:C$201, ROWS(C$1:C$201) - ROW(C137)+1)</f>
        <v>-7.2530721575999992</v>
      </c>
      <c r="K137" cm="1">
        <f t="array" ref="K137">INDEX(D$1:D$201, ROWS(D$1:D$201) - ROW(D137)+1)</f>
        <v>-8.5434960384000007</v>
      </c>
      <c r="L137" cm="1">
        <f t="array" ref="L137">INDEX(E$1:E$201, ROWS(E$1:E$201) - ROW(E137)+1)</f>
        <v>-9.1664592911999989</v>
      </c>
      <c r="M137" cm="1">
        <f t="array" ref="M137">INDEX(F$1:F$201, ROWS(F$1:F$201) - ROW(F137)+1)</f>
        <v>-8.8994750399999987</v>
      </c>
      <c r="N137" s="1"/>
      <c r="O137" s="1">
        <v>5.6956640256000002</v>
      </c>
      <c r="P137">
        <v>7.4310616584</v>
      </c>
      <c r="Q137">
        <v>9.0329671655999988</v>
      </c>
      <c r="R137">
        <v>10.7683647984</v>
      </c>
      <c r="S137">
        <v>11.1243438</v>
      </c>
      <c r="T137">
        <v>10.412385796800001</v>
      </c>
    </row>
    <row r="138" spans="1:20" x14ac:dyDescent="0.25">
      <c r="A138" s="1">
        <v>5.9626482768000004</v>
      </c>
      <c r="B138">
        <v>7.7425432848</v>
      </c>
      <c r="C138">
        <v>9.4779409175999998</v>
      </c>
      <c r="D138">
        <v>11.213338550400001</v>
      </c>
      <c r="E138">
        <v>11.569317551999999</v>
      </c>
      <c r="F138">
        <v>10.990851674399998</v>
      </c>
      <c r="H138" cm="1">
        <f t="array" ref="H138">INDEX($A$1:$A$201, ROWS($A$1:$A$201) - ROW(A138)+1)</f>
        <v>-4.7612191464000002</v>
      </c>
      <c r="I138" cm="1">
        <f t="array" ref="I138">INDEX(B$1:B$201, ROWS(B$1:B$201) - ROW(B138)+1)</f>
        <v>-6.2741299032000004</v>
      </c>
      <c r="J138" cm="1">
        <f t="array" ref="J138">INDEX(C$1:C$201, ROWS(C$1:C$201) - ROW(C138)+1)</f>
        <v>-7.5200564087999995</v>
      </c>
      <c r="K138" cm="1">
        <f t="array" ref="K138">INDEX(D$1:D$201, ROWS(D$1:D$201) - ROW(D138)+1)</f>
        <v>-8.8549776647999998</v>
      </c>
      <c r="L138" cm="1">
        <f t="array" ref="L138">INDEX(E$1:E$201, ROWS(E$1:E$201) - ROW(E138)+1)</f>
        <v>-9.5224382927999986</v>
      </c>
      <c r="M138" cm="1">
        <f t="array" ref="M138">INDEX(F$1:F$201, ROWS(F$1:F$201) - ROW(F138)+1)</f>
        <v>-9.2554540416000002</v>
      </c>
      <c r="N138" s="1"/>
      <c r="O138" s="1">
        <v>5.9626482768000004</v>
      </c>
      <c r="P138">
        <v>7.7425432848</v>
      </c>
      <c r="Q138">
        <v>9.4779409175999998</v>
      </c>
      <c r="R138">
        <v>11.213338550400001</v>
      </c>
      <c r="S138">
        <v>11.569317551999999</v>
      </c>
      <c r="T138">
        <v>10.990851674399998</v>
      </c>
    </row>
    <row r="139" spans="1:20" x14ac:dyDescent="0.25">
      <c r="A139" s="1">
        <v>6.2741299032000004</v>
      </c>
      <c r="B139">
        <v>8.1430196616000003</v>
      </c>
      <c r="C139">
        <v>9.7894225440000007</v>
      </c>
      <c r="D139">
        <v>11.6138149272</v>
      </c>
      <c r="E139">
        <v>12.014291303999999</v>
      </c>
      <c r="F139">
        <v>11.4803228016</v>
      </c>
      <c r="H139" cm="1">
        <f t="array" ref="H139">INDEX($A$1:$A$201, ROWS($A$1:$A$201) - ROW(A139)+1)</f>
        <v>-5.0282033975999996</v>
      </c>
      <c r="I139" cm="1">
        <f t="array" ref="I139">INDEX(B$1:B$201, ROWS(B$1:B$201) - ROW(B139)+1)</f>
        <v>-6.4521194040000003</v>
      </c>
      <c r="J139" cm="1">
        <f t="array" ref="J139">INDEX(C$1:C$201, ROWS(C$1:C$201) - ROW(C139)+1)</f>
        <v>-7.9205327855999998</v>
      </c>
      <c r="K139" cm="1">
        <f t="array" ref="K139">INDEX(D$1:D$201, ROWS(D$1:D$201) - ROW(D139)+1)</f>
        <v>-9.2554540416000002</v>
      </c>
      <c r="L139" cm="1">
        <f t="array" ref="L139">INDEX(E$1:E$201, ROWS(E$1:E$201) - ROW(E139)+1)</f>
        <v>-9.9229146696000008</v>
      </c>
      <c r="M139" cm="1">
        <f t="array" ref="M139">INDEX(F$1:F$201, ROWS(F$1:F$201) - ROW(F139)+1)</f>
        <v>-9.7004277936000012</v>
      </c>
      <c r="N139" s="1"/>
      <c r="O139" s="1">
        <v>6.2741299032000004</v>
      </c>
      <c r="P139">
        <v>8.1430196616000003</v>
      </c>
      <c r="Q139">
        <v>9.7894225440000007</v>
      </c>
      <c r="R139">
        <v>11.6138149272</v>
      </c>
      <c r="S139">
        <v>12.014291303999999</v>
      </c>
      <c r="T139">
        <v>11.4803228016</v>
      </c>
    </row>
    <row r="140" spans="1:20" x14ac:dyDescent="0.25">
      <c r="A140" s="1">
        <v>6.7191036552000005</v>
      </c>
      <c r="B140">
        <v>8.4100039127999988</v>
      </c>
      <c r="C140">
        <v>10.323391046399999</v>
      </c>
      <c r="D140">
        <v>12.1477834296</v>
      </c>
      <c r="E140">
        <v>12.548259806400001</v>
      </c>
      <c r="F140">
        <v>11.9697939288</v>
      </c>
      <c r="H140" cm="1">
        <f t="array" ref="H140">INDEX($A$1:$A$201, ROWS($A$1:$A$201) - ROW(A140)+1)</f>
        <v>-5.2061928984000003</v>
      </c>
      <c r="I140" cm="1">
        <f t="array" ref="I140">INDEX(B$1:B$201, ROWS(B$1:B$201) - ROW(B140)+1)</f>
        <v>-6.8080984056</v>
      </c>
      <c r="J140" cm="1">
        <f t="array" ref="J140">INDEX(C$1:C$201, ROWS(C$1:C$201) - ROW(C140)+1)</f>
        <v>-8.3210091623999993</v>
      </c>
      <c r="K140" cm="1">
        <f t="array" ref="K140">INDEX(D$1:D$201, ROWS(D$1:D$201) - ROW(D140)+1)</f>
        <v>-9.6114330432000017</v>
      </c>
      <c r="L140" cm="1">
        <f t="array" ref="L140">INDEX(E$1:E$201, ROWS(E$1:E$201) - ROW(E140)+1)</f>
        <v>-10.278893671199999</v>
      </c>
      <c r="M140" cm="1">
        <f t="array" ref="M140">INDEX(F$1:F$201, ROWS(F$1:F$201) - ROW(F140)+1)</f>
        <v>-10.011909420000002</v>
      </c>
      <c r="N140" s="1"/>
      <c r="O140" s="1">
        <v>6.7191036552000005</v>
      </c>
      <c r="P140">
        <v>8.4100039127999988</v>
      </c>
      <c r="Q140">
        <v>10.323391046399999</v>
      </c>
      <c r="R140">
        <v>12.1477834296</v>
      </c>
      <c r="S140">
        <v>12.548259806400001</v>
      </c>
      <c r="T140">
        <v>11.9697939288</v>
      </c>
    </row>
    <row r="141" spans="1:20" x14ac:dyDescent="0.25">
      <c r="A141" s="1">
        <v>6.8970931560000004</v>
      </c>
      <c r="B141">
        <v>8.7659829144000003</v>
      </c>
      <c r="C141">
        <v>10.723867423200002</v>
      </c>
      <c r="D141">
        <v>12.548259806400001</v>
      </c>
      <c r="E141">
        <v>12.948736183199999</v>
      </c>
      <c r="F141">
        <v>12.548259806400001</v>
      </c>
      <c r="H141" cm="1">
        <f t="array" ref="H141">INDEX($A$1:$A$201, ROWS($A$1:$A$201) - ROW(A141)+1)</f>
        <v>-5.4286797744000008</v>
      </c>
      <c r="I141" cm="1">
        <f t="array" ref="I141">INDEX(B$1:B$201, ROWS(B$1:B$201) - ROW(B141)+1)</f>
        <v>-7.0750826568000003</v>
      </c>
      <c r="J141" cm="1">
        <f t="array" ref="J141">INDEX(C$1:C$201, ROWS(C$1:C$201) - ROW(C141)+1)</f>
        <v>-8.6769881640000008</v>
      </c>
      <c r="K141" cm="1">
        <f t="array" ref="K141">INDEX(D$1:D$201, ROWS(D$1:D$201) - ROW(D141)+1)</f>
        <v>-10.011909420000002</v>
      </c>
      <c r="L141" cm="1">
        <f t="array" ref="L141">INDEX(E$1:E$201, ROWS(E$1:E$201) - ROW(E141)+1)</f>
        <v>-10.634872672799998</v>
      </c>
      <c r="M141" cm="1">
        <f t="array" ref="M141">INDEX(F$1:F$201, ROWS(F$1:F$201) - ROW(F141)+1)</f>
        <v>-10.456883172</v>
      </c>
      <c r="N141" s="1"/>
      <c r="O141" s="1">
        <v>6.8970931560000004</v>
      </c>
      <c r="P141">
        <v>8.7659829144000003</v>
      </c>
      <c r="Q141">
        <v>10.723867423200002</v>
      </c>
      <c r="R141">
        <v>12.548259806400001</v>
      </c>
      <c r="S141">
        <v>12.948736183199999</v>
      </c>
      <c r="T141">
        <v>12.548259806400001</v>
      </c>
    </row>
    <row r="142" spans="1:20" x14ac:dyDescent="0.25">
      <c r="A142" s="1">
        <v>7.1195800320000009</v>
      </c>
      <c r="B142">
        <v>9.1219619160000001</v>
      </c>
      <c r="C142">
        <v>11.213338550400001</v>
      </c>
      <c r="D142">
        <v>13.037730933600002</v>
      </c>
      <c r="E142">
        <v>13.571699436000001</v>
      </c>
      <c r="F142">
        <v>12.859741432800002</v>
      </c>
      <c r="H142" cm="1">
        <f t="array" ref="H142">INDEX($A$1:$A$201, ROWS($A$1:$A$201) - ROW(A142)+1)</f>
        <v>-5.6956640256000002</v>
      </c>
      <c r="I142" cm="1">
        <f t="array" ref="I142">INDEX(B$1:B$201, ROWS(B$1:B$201) - ROW(B142)+1)</f>
        <v>-7.2530721575999992</v>
      </c>
      <c r="J142" cm="1">
        <f t="array" ref="J142">INDEX(C$1:C$201, ROWS(C$1:C$201) - ROW(C142)+1)</f>
        <v>-8.9884697904000017</v>
      </c>
      <c r="K142" cm="1">
        <f t="array" ref="K142">INDEX(D$1:D$201, ROWS(D$1:D$201) - ROW(D142)+1)</f>
        <v>-10.323391046399999</v>
      </c>
      <c r="L142" cm="1">
        <f t="array" ref="L142">INDEX(E$1:E$201, ROWS(E$1:E$201) - ROW(E142)+1)</f>
        <v>-11.1243438</v>
      </c>
      <c r="M142" cm="1">
        <f t="array" ref="M142">INDEX(F$1:F$201, ROWS(F$1:F$201) - ROW(F142)+1)</f>
        <v>-10.857359548800003</v>
      </c>
      <c r="N142" s="1"/>
      <c r="O142" s="1">
        <v>7.1195800320000009</v>
      </c>
      <c r="P142">
        <v>9.1219619160000001</v>
      </c>
      <c r="Q142">
        <v>11.213338550400001</v>
      </c>
      <c r="R142">
        <v>13.037730933600002</v>
      </c>
      <c r="S142">
        <v>13.571699436000001</v>
      </c>
      <c r="T142">
        <v>12.859741432800002</v>
      </c>
    </row>
    <row r="143" spans="1:20" x14ac:dyDescent="0.25">
      <c r="A143" s="1">
        <v>7.4755590335999997</v>
      </c>
      <c r="B143">
        <v>9.4779409175999998</v>
      </c>
      <c r="C143">
        <v>11.791804428000001</v>
      </c>
      <c r="D143">
        <v>13.6161968112</v>
      </c>
      <c r="E143">
        <v>13.9721758128</v>
      </c>
      <c r="F143">
        <v>13.527202060800002</v>
      </c>
      <c r="H143" cm="1">
        <f t="array" ref="H143">INDEX($A$1:$A$201, ROWS($A$1:$A$201) - ROW(A143)+1)</f>
        <v>-6.0071456520000011</v>
      </c>
      <c r="I143" cm="1">
        <f t="array" ref="I143">INDEX(B$1:B$201, ROWS(B$1:B$201) - ROW(B143)+1)</f>
        <v>-7.5645537840000001</v>
      </c>
      <c r="J143" cm="1">
        <f t="array" ref="J143">INDEX(C$1:C$201, ROWS(C$1:C$201) - ROW(C143)+1)</f>
        <v>-9.3444487920000014</v>
      </c>
      <c r="K143" cm="1">
        <f t="array" ref="K143">INDEX(D$1:D$201, ROWS(D$1:D$201) - ROW(D143)+1)</f>
        <v>-10.812862173600001</v>
      </c>
      <c r="L143" cm="1">
        <f t="array" ref="L143">INDEX(E$1:E$201, ROWS(E$1:E$201) - ROW(E143)+1)</f>
        <v>-11.524820176799999</v>
      </c>
      <c r="M143" cm="1">
        <f t="array" ref="M143">INDEX(F$1:F$201, ROWS(F$1:F$201) - ROW(F143)+1)</f>
        <v>-11.4803228016</v>
      </c>
      <c r="N143" s="1"/>
      <c r="O143" s="1">
        <v>7.4755590335999997</v>
      </c>
      <c r="P143">
        <v>9.4779409175999998</v>
      </c>
      <c r="Q143">
        <v>11.791804428000001</v>
      </c>
      <c r="R143">
        <v>13.6161968112</v>
      </c>
      <c r="S143">
        <v>13.9721758128</v>
      </c>
      <c r="T143">
        <v>13.527202060800002</v>
      </c>
    </row>
    <row r="144" spans="1:20" x14ac:dyDescent="0.25">
      <c r="A144" s="1">
        <v>7.8315380352000004</v>
      </c>
      <c r="B144">
        <v>9.8339199192000013</v>
      </c>
      <c r="C144">
        <v>12.103286054400002</v>
      </c>
      <c r="D144">
        <v>14.1056679384</v>
      </c>
      <c r="E144">
        <v>14.5951390656</v>
      </c>
      <c r="F144">
        <v>14.1056679384</v>
      </c>
      <c r="H144" cm="1">
        <f t="array" ref="H144">INDEX($A$1:$A$201, ROWS($A$1:$A$201) - ROW(A144)+1)</f>
        <v>-6.1851351527999991</v>
      </c>
      <c r="I144" cm="1">
        <f t="array" ref="I144">INDEX(B$1:B$201, ROWS(B$1:B$201) - ROW(B144)+1)</f>
        <v>-7.7870406600000006</v>
      </c>
      <c r="J144" cm="1">
        <f t="array" ref="J144">INDEX(C$1:C$201, ROWS(C$1:C$201) - ROW(C144)+1)</f>
        <v>-9.6559304184000023</v>
      </c>
      <c r="K144" cm="1">
        <f t="array" ref="K144">INDEX(D$1:D$201, ROWS(D$1:D$201) - ROW(D144)+1)</f>
        <v>-10.9908516744</v>
      </c>
      <c r="L144" cm="1">
        <f t="array" ref="L144">INDEX(E$1:E$201, ROWS(E$1:E$201) - ROW(E144)+1)</f>
        <v>-12.014291303999999</v>
      </c>
      <c r="M144" cm="1">
        <f t="array" ref="M144">INDEX(F$1:F$201, ROWS(F$1:F$201) - ROW(F144)+1)</f>
        <v>-11.969793928800001</v>
      </c>
      <c r="N144" s="1"/>
      <c r="O144" s="1">
        <v>7.8315380352000004</v>
      </c>
      <c r="P144">
        <v>9.8339199192000013</v>
      </c>
      <c r="Q144">
        <v>12.103286054400002</v>
      </c>
      <c r="R144">
        <v>14.1056679384</v>
      </c>
      <c r="S144">
        <v>14.5951390656</v>
      </c>
      <c r="T144">
        <v>14.1056679384</v>
      </c>
    </row>
    <row r="145" spans="1:20" x14ac:dyDescent="0.25">
      <c r="A145" s="1">
        <v>8.0985222864000015</v>
      </c>
      <c r="B145">
        <v>10.189898920799997</v>
      </c>
      <c r="C145">
        <v>12.548259806400001</v>
      </c>
      <c r="D145">
        <v>14.550641690400001</v>
      </c>
      <c r="E145">
        <v>15.0846101928</v>
      </c>
      <c r="F145">
        <v>14.9956154424</v>
      </c>
      <c r="H145" cm="1">
        <f t="array" ref="H145">INDEX($A$1:$A$201, ROWS($A$1:$A$201) - ROW(A145)+1)</f>
        <v>-6.4076220287999996</v>
      </c>
      <c r="I145" cm="1">
        <f t="array" ref="I145">INDEX(B$1:B$201, ROWS(B$1:B$201) - ROW(B145)+1)</f>
        <v>-8.187517036800001</v>
      </c>
      <c r="J145" cm="1">
        <f t="array" ref="J145">INDEX(C$1:C$201, ROWS(C$1:C$201) - ROW(C145)+1)</f>
        <v>-9.9674120448000032</v>
      </c>
      <c r="K145" cm="1">
        <f t="array" ref="K145">INDEX(D$1:D$201, ROWS(D$1:D$201) - ROW(D145)+1)</f>
        <v>-11.3913280512</v>
      </c>
      <c r="L145" cm="1">
        <f t="array" ref="L145">INDEX(E$1:E$201, ROWS(E$1:E$201) - ROW(E145)+1)</f>
        <v>-12.503762431199998</v>
      </c>
      <c r="M145" cm="1">
        <f t="array" ref="M145">INDEX(F$1:F$201, ROWS(F$1:F$201) - ROW(F145)+1)</f>
        <v>-12.459265056000001</v>
      </c>
      <c r="N145" s="1"/>
      <c r="O145" s="1">
        <v>8.0985222864000015</v>
      </c>
      <c r="P145">
        <v>10.189898920799997</v>
      </c>
      <c r="Q145">
        <v>12.548259806400001</v>
      </c>
      <c r="R145">
        <v>14.550641690400001</v>
      </c>
      <c r="S145">
        <v>15.0846101928</v>
      </c>
      <c r="T145">
        <v>14.9956154424</v>
      </c>
    </row>
    <row r="146" spans="1:20" x14ac:dyDescent="0.25">
      <c r="A146" s="1">
        <v>8.3655065376</v>
      </c>
      <c r="B146">
        <v>10.634872672799998</v>
      </c>
      <c r="C146">
        <v>12.9932335584</v>
      </c>
      <c r="D146">
        <v>15.084610192800001</v>
      </c>
      <c r="E146">
        <v>15.663076070399999</v>
      </c>
      <c r="F146">
        <v>15.529583944799999</v>
      </c>
      <c r="H146" cm="1">
        <f t="array" ref="H146">INDEX($A$1:$A$201, ROWS($A$1:$A$201) - ROW(A146)+1)</f>
        <v>-6.5856115295999995</v>
      </c>
      <c r="I146" cm="1">
        <f t="array" ref="I146">INDEX(B$1:B$201, ROWS(B$1:B$201) - ROW(B146)+1)</f>
        <v>-8.5434960384000007</v>
      </c>
      <c r="J146" cm="1">
        <f t="array" ref="J146">INDEX(C$1:C$201, ROWS(C$1:C$201) - ROW(C146)+1)</f>
        <v>-10.323391046400003</v>
      </c>
      <c r="K146" cm="1">
        <f t="array" ref="K146">INDEX(D$1:D$201, ROWS(D$1:D$201) - ROW(D146)+1)</f>
        <v>-11.791804428000001</v>
      </c>
      <c r="L146" cm="1">
        <f t="array" ref="L146">INDEX(E$1:E$201, ROWS(E$1:E$201) - ROW(E146)+1)</f>
        <v>-13.037730933599999</v>
      </c>
      <c r="M146" cm="1">
        <f t="array" ref="M146">INDEX(F$1:F$201, ROWS(F$1:F$201) - ROW(F146)+1)</f>
        <v>-12.993233558400004</v>
      </c>
      <c r="N146" s="1"/>
      <c r="O146" s="1">
        <v>8.3655065376</v>
      </c>
      <c r="P146">
        <v>10.634872672799998</v>
      </c>
      <c r="Q146">
        <v>12.9932335584</v>
      </c>
      <c r="R146">
        <v>15.084610192800001</v>
      </c>
      <c r="S146">
        <v>15.663076070399999</v>
      </c>
      <c r="T146">
        <v>15.529583944799999</v>
      </c>
    </row>
    <row r="147" spans="1:20" x14ac:dyDescent="0.25">
      <c r="A147" s="1">
        <v>8.7214855391999997</v>
      </c>
      <c r="B147">
        <v>11.168841175199999</v>
      </c>
      <c r="C147">
        <v>13.3937099352</v>
      </c>
      <c r="D147">
        <v>15.574081320000001</v>
      </c>
      <c r="E147">
        <v>16.464028824</v>
      </c>
      <c r="F147">
        <v>16.108049822400002</v>
      </c>
      <c r="H147" cm="1">
        <f t="array" ref="H147">INDEX($A$1:$A$201, ROWS($A$1:$A$201) - ROW(A147)+1)</f>
        <v>-6.8525957808000006</v>
      </c>
      <c r="I147" cm="1">
        <f t="array" ref="I147">INDEX(B$1:B$201, ROWS(B$1:B$201) - ROW(B147)+1)</f>
        <v>-8.8549776647999998</v>
      </c>
      <c r="J147" cm="1">
        <f t="array" ref="J147">INDEX(C$1:C$201, ROWS(C$1:C$201) - ROW(C147)+1)</f>
        <v>-10.679370048000003</v>
      </c>
      <c r="K147" cm="1">
        <f t="array" ref="K147">INDEX(D$1:D$201, ROWS(D$1:D$201) - ROW(D147)+1)</f>
        <v>-12.325772930399999</v>
      </c>
      <c r="L147" cm="1">
        <f t="array" ref="L147">INDEX(E$1:E$201, ROWS(E$1:E$201) - ROW(E147)+1)</f>
        <v>-13.527202060799999</v>
      </c>
      <c r="M147" cm="1">
        <f t="array" ref="M147">INDEX(F$1:F$201, ROWS(F$1:F$201) - ROW(F147)+1)</f>
        <v>-13.482704685600002</v>
      </c>
      <c r="N147" s="1"/>
      <c r="O147" s="1">
        <v>8.7214855391999997</v>
      </c>
      <c r="P147">
        <v>11.168841175199999</v>
      </c>
      <c r="Q147">
        <v>13.3937099352</v>
      </c>
      <c r="R147">
        <v>15.574081320000001</v>
      </c>
      <c r="S147">
        <v>16.464028824</v>
      </c>
      <c r="T147">
        <v>16.108049822400002</v>
      </c>
    </row>
    <row r="148" spans="1:20" x14ac:dyDescent="0.25">
      <c r="A148" s="1">
        <v>9.0329671655999988</v>
      </c>
      <c r="B148">
        <v>11.391328051199997</v>
      </c>
      <c r="C148">
        <v>13.794186312000001</v>
      </c>
      <c r="D148">
        <v>16.197044572800003</v>
      </c>
      <c r="E148">
        <v>17.086992076800001</v>
      </c>
      <c r="F148">
        <v>17.042494701600003</v>
      </c>
      <c r="H148" cm="1">
        <f t="array" ref="H148">INDEX($A$1:$A$201, ROWS($A$1:$A$201) - ROW(A148)+1)</f>
        <v>-7.0750826568000003</v>
      </c>
      <c r="I148" cm="1">
        <f t="array" ref="I148">INDEX(B$1:B$201, ROWS(B$1:B$201) - ROW(B148)+1)</f>
        <v>-9.1219619160000001</v>
      </c>
      <c r="J148" cm="1">
        <f t="array" ref="J148">INDEX(C$1:C$201, ROWS(C$1:C$201) - ROW(C148)+1)</f>
        <v>-11.035349049600001</v>
      </c>
      <c r="K148" cm="1">
        <f t="array" ref="K148">INDEX(D$1:D$201, ROWS(D$1:D$201) - ROW(D148)+1)</f>
        <v>-12.7707466824</v>
      </c>
      <c r="L148" cm="1">
        <f t="array" ref="L148">INDEX(E$1:E$201, ROWS(E$1:E$201) - ROW(E148)+1)</f>
        <v>-13.9721758128</v>
      </c>
      <c r="M148" cm="1">
        <f t="array" ref="M148">INDEX(F$1:F$201, ROWS(F$1:F$201) - ROW(F148)+1)</f>
        <v>-13.838683687200003</v>
      </c>
      <c r="N148" s="1"/>
      <c r="O148" s="1">
        <v>9.0329671655999988</v>
      </c>
      <c r="P148">
        <v>11.391328051199997</v>
      </c>
      <c r="Q148">
        <v>13.794186312000001</v>
      </c>
      <c r="R148">
        <v>16.197044572800003</v>
      </c>
      <c r="S148">
        <v>17.086992076800001</v>
      </c>
      <c r="T148">
        <v>17.042494701600003</v>
      </c>
    </row>
    <row r="149" spans="1:20" x14ac:dyDescent="0.25">
      <c r="A149" s="1">
        <v>9.299951416799999</v>
      </c>
      <c r="B149">
        <v>11.7473070528</v>
      </c>
      <c r="C149">
        <v>14.328154814400001</v>
      </c>
      <c r="D149">
        <v>16.5975209496</v>
      </c>
      <c r="E149">
        <v>17.531965828800001</v>
      </c>
      <c r="F149">
        <v>17.665457954399997</v>
      </c>
      <c r="H149" cm="1">
        <f t="array" ref="H149">INDEX($A$1:$A$201, ROWS($A$1:$A$201) - ROW(A149)+1)</f>
        <v>-7.3865642832000002</v>
      </c>
      <c r="I149" cm="1">
        <f t="array" ref="I149">INDEX(B$1:B$201, ROWS(B$1:B$201) - ROW(B149)+1)</f>
        <v>-9.4334435424000009</v>
      </c>
      <c r="J149" cm="1">
        <f t="array" ref="J149">INDEX(C$1:C$201, ROWS(C$1:C$201) - ROW(C149)+1)</f>
        <v>-11.435825426400001</v>
      </c>
      <c r="K149" cm="1">
        <f t="array" ref="K149">INDEX(D$1:D$201, ROWS(D$1:D$201) - ROW(D149)+1)</f>
        <v>-13.215720434400001</v>
      </c>
      <c r="L149" cm="1">
        <f t="array" ref="L149">INDEX(E$1:E$201, ROWS(E$1:E$201) - ROW(E149)+1)</f>
        <v>-14.372652189600002</v>
      </c>
      <c r="M149" cm="1">
        <f t="array" ref="M149">INDEX(F$1:F$201, ROWS(F$1:F$201) - ROW(F149)+1)</f>
        <v>-14.461646940000001</v>
      </c>
      <c r="N149" s="1"/>
      <c r="O149" s="1">
        <v>9.299951416799999</v>
      </c>
      <c r="P149">
        <v>11.7473070528</v>
      </c>
      <c r="Q149">
        <v>14.328154814400001</v>
      </c>
      <c r="R149">
        <v>16.5975209496</v>
      </c>
      <c r="S149">
        <v>17.531965828800001</v>
      </c>
      <c r="T149">
        <v>17.665457954399997</v>
      </c>
    </row>
    <row r="150" spans="1:20" x14ac:dyDescent="0.25">
      <c r="A150" s="1">
        <v>9.5669356679999993</v>
      </c>
      <c r="B150">
        <v>12.1032860544</v>
      </c>
      <c r="C150">
        <v>14.817625941600001</v>
      </c>
      <c r="D150">
        <v>17.2649815776</v>
      </c>
      <c r="E150">
        <v>18.065934331199998</v>
      </c>
      <c r="F150">
        <v>18.1104317064</v>
      </c>
      <c r="H150" cm="1">
        <f t="array" ref="H150">INDEX($A$1:$A$201, ROWS($A$1:$A$201) - ROW(A150)+1)</f>
        <v>-7.6535485344000005</v>
      </c>
      <c r="I150" cm="1">
        <f t="array" ref="I150">INDEX(B$1:B$201, ROWS(B$1:B$201) - ROW(B150)+1)</f>
        <v>-9.7449251688</v>
      </c>
      <c r="J150" cm="1">
        <f t="array" ref="J150">INDEX(C$1:C$201, ROWS(C$1:C$201) - ROW(C150)+1)</f>
        <v>-11.702809677600003</v>
      </c>
      <c r="K150" cm="1">
        <f t="array" ref="K150">INDEX(D$1:D$201, ROWS(D$1:D$201) - ROW(D150)+1)</f>
        <v>-13.705191561600001</v>
      </c>
      <c r="L150" cm="1">
        <f t="array" ref="L150">INDEX(E$1:E$201, ROWS(E$1:E$201) - ROW(E150)+1)</f>
        <v>-14.906620692000001</v>
      </c>
      <c r="M150" cm="1">
        <f t="array" ref="M150">INDEX(F$1:F$201, ROWS(F$1:F$201) - ROW(F150)+1)</f>
        <v>-14.906620692000001</v>
      </c>
      <c r="N150" s="1"/>
      <c r="O150" s="1">
        <v>9.5669356679999993</v>
      </c>
      <c r="P150">
        <v>12.1032860544</v>
      </c>
      <c r="Q150">
        <v>14.817625941600001</v>
      </c>
      <c r="R150">
        <v>17.2649815776</v>
      </c>
      <c r="S150">
        <v>18.065934331199998</v>
      </c>
      <c r="T150">
        <v>18.1104317064</v>
      </c>
    </row>
    <row r="151" spans="1:20" x14ac:dyDescent="0.25">
      <c r="A151" s="1">
        <v>9.5224382928000004</v>
      </c>
      <c r="B151">
        <v>12.548259806400001</v>
      </c>
      <c r="C151">
        <v>15.218102318400001</v>
      </c>
      <c r="D151">
        <v>17.887944830400002</v>
      </c>
      <c r="E151">
        <v>18.822389709599999</v>
      </c>
      <c r="F151">
        <v>18.822389709599999</v>
      </c>
      <c r="H151" cm="1">
        <f t="array" ref="H151">INDEX($A$1:$A$201, ROWS($A$1:$A$201) - ROW(A151)+1)</f>
        <v>-7.8315380352000004</v>
      </c>
      <c r="I151" cm="1">
        <f t="array" ref="I151">INDEX(B$1:B$201, ROWS(B$1:B$201) - ROW(B151)+1)</f>
        <v>-10.011909420000002</v>
      </c>
      <c r="J151" cm="1">
        <f t="array" ref="J151">INDEX(C$1:C$201, ROWS(C$1:C$201) - ROW(C151)+1)</f>
        <v>-12.1477834296</v>
      </c>
      <c r="K151" cm="1">
        <f t="array" ref="K151">INDEX(D$1:D$201, ROWS(D$1:D$201) - ROW(D151)+1)</f>
        <v>-14.1056679384</v>
      </c>
      <c r="L151" cm="1">
        <f t="array" ref="L151">INDEX(E$1:E$201, ROWS(E$1:E$201) - ROW(E151)+1)</f>
        <v>-15.351594444</v>
      </c>
      <c r="M151" cm="1">
        <f t="array" ref="M151">INDEX(F$1:F$201, ROWS(F$1:F$201) - ROW(F151)+1)</f>
        <v>-15.529583944800001</v>
      </c>
      <c r="N151" s="1"/>
      <c r="O151" s="1">
        <v>9.5224382928000004</v>
      </c>
      <c r="P151">
        <v>12.548259806400001</v>
      </c>
      <c r="Q151">
        <v>15.218102318400001</v>
      </c>
      <c r="R151">
        <v>17.887944830400002</v>
      </c>
      <c r="S151">
        <v>18.822389709599999</v>
      </c>
      <c r="T151">
        <v>18.822389709599999</v>
      </c>
    </row>
    <row r="152" spans="1:20" x14ac:dyDescent="0.25">
      <c r="A152" s="1">
        <v>10.278893671200001</v>
      </c>
      <c r="B152">
        <v>12.859741432799998</v>
      </c>
      <c r="C152">
        <v>15.752070820800002</v>
      </c>
      <c r="D152">
        <v>18.421913332800003</v>
      </c>
      <c r="E152">
        <v>19.356358212</v>
      </c>
      <c r="F152">
        <v>19.445352962400001</v>
      </c>
      <c r="H152" cm="1">
        <f t="array" ref="H152">INDEX($A$1:$A$201, ROWS($A$1:$A$201) - ROW(A152)+1)</f>
        <v>-8.0985222864000015</v>
      </c>
      <c r="I152" cm="1">
        <f t="array" ref="I152">INDEX(B$1:B$201, ROWS(B$1:B$201) - ROW(B152)+1)</f>
        <v>-10.234396296</v>
      </c>
      <c r="J152" cm="1">
        <f t="array" ref="J152">INDEX(C$1:C$201, ROWS(C$1:C$201) - ROW(C152)+1)</f>
        <v>-12.592757181600001</v>
      </c>
      <c r="K152" cm="1">
        <f t="array" ref="K152">INDEX(D$1:D$201, ROWS(D$1:D$201) - ROW(D152)+1)</f>
        <v>-14.5951390656</v>
      </c>
      <c r="L152" cm="1">
        <f t="array" ref="L152">INDEX(E$1:E$201, ROWS(E$1:E$201) - ROW(E152)+1)</f>
        <v>-15.796568196000001</v>
      </c>
      <c r="M152" cm="1">
        <f t="array" ref="M152">INDEX(F$1:F$201, ROWS(F$1:F$201) - ROW(F152)+1)</f>
        <v>-16.063552447200003</v>
      </c>
      <c r="N152" s="1"/>
      <c r="O152" s="1">
        <v>10.278893671200001</v>
      </c>
      <c r="P152">
        <v>12.859741432799998</v>
      </c>
      <c r="Q152">
        <v>15.752070820800002</v>
      </c>
      <c r="R152">
        <v>18.421913332800003</v>
      </c>
      <c r="S152">
        <v>19.356358212</v>
      </c>
      <c r="T152">
        <v>19.445352962400001</v>
      </c>
    </row>
    <row r="153" spans="1:20" x14ac:dyDescent="0.25">
      <c r="A153" s="1">
        <v>10.545877922400001</v>
      </c>
      <c r="B153">
        <v>13.2602178096</v>
      </c>
      <c r="C153">
        <v>16.197044572800003</v>
      </c>
      <c r="D153">
        <v>18.955881835200003</v>
      </c>
      <c r="E153">
        <v>19.979321464800005</v>
      </c>
      <c r="F153">
        <v>20.290803091199997</v>
      </c>
      <c r="H153" cm="1">
        <f t="array" ref="H153">INDEX($A$1:$A$201, ROWS($A$1:$A$201) - ROW(A153)+1)</f>
        <v>-8.3655065376</v>
      </c>
      <c r="I153" cm="1">
        <f t="array" ref="I153">INDEX(B$1:B$201, ROWS(B$1:B$201) - ROW(B153)+1)</f>
        <v>-10.6348726728</v>
      </c>
      <c r="J153" cm="1">
        <f t="array" ref="J153">INDEX(C$1:C$201, ROWS(C$1:C$201) - ROW(C153)+1)</f>
        <v>-12.993233558400004</v>
      </c>
      <c r="K153" cm="1">
        <f t="array" ref="K153">INDEX(D$1:D$201, ROWS(D$1:D$201) - ROW(D153)+1)</f>
        <v>-14.8621233168</v>
      </c>
      <c r="L153" cm="1">
        <f t="array" ref="L153">INDEX(E$1:E$201, ROWS(E$1:E$201) - ROW(E153)+1)</f>
        <v>-16.286039323199997</v>
      </c>
      <c r="M153" cm="1">
        <f t="array" ref="M153">INDEX(F$1:F$201, ROWS(F$1:F$201) - ROW(F153)+1)</f>
        <v>-16.419531448800001</v>
      </c>
      <c r="N153" s="1"/>
      <c r="O153" s="1">
        <v>10.545877922400001</v>
      </c>
      <c r="P153">
        <v>13.2602178096</v>
      </c>
      <c r="Q153">
        <v>16.197044572800003</v>
      </c>
      <c r="R153">
        <v>18.955881835200003</v>
      </c>
      <c r="S153">
        <v>19.979321464800005</v>
      </c>
      <c r="T153">
        <v>20.290803091199997</v>
      </c>
    </row>
    <row r="154" spans="1:20" x14ac:dyDescent="0.25">
      <c r="A154" s="1">
        <v>10.901856924000001</v>
      </c>
      <c r="B154">
        <v>13.7496889368</v>
      </c>
      <c r="C154">
        <v>16.775510450399999</v>
      </c>
      <c r="D154">
        <v>19.534347712800002</v>
      </c>
      <c r="E154">
        <v>20.424295216800001</v>
      </c>
      <c r="F154">
        <v>20.780274218400002</v>
      </c>
      <c r="H154" cm="1">
        <f t="array" ref="H154">INDEX($A$1:$A$201, ROWS($A$1:$A$201) - ROW(A154)+1)</f>
        <v>-8.6324907888000002</v>
      </c>
      <c r="I154" cm="1">
        <f t="array" ref="I154">INDEX(B$1:B$201, ROWS(B$1:B$201) - ROW(B154)+1)</f>
        <v>-10.946354299199999</v>
      </c>
      <c r="J154" cm="1">
        <f t="array" ref="J154">INDEX(C$1:C$201, ROWS(C$1:C$201) - ROW(C154)+1)</f>
        <v>-13.438207310400001</v>
      </c>
      <c r="K154" cm="1">
        <f t="array" ref="K154">INDEX(D$1:D$201, ROWS(D$1:D$201) - ROW(D154)+1)</f>
        <v>-15.262599693600002</v>
      </c>
      <c r="L154" cm="1">
        <f t="array" ref="L154">INDEX(E$1:E$201, ROWS(E$1:E$201) - ROW(E154)+1)</f>
        <v>-16.8645052008</v>
      </c>
      <c r="M154" cm="1">
        <f t="array" ref="M154">INDEX(F$1:F$201, ROWS(F$1:F$201) - ROW(F154)+1)</f>
        <v>-16.953499951200001</v>
      </c>
      <c r="N154" s="1"/>
      <c r="O154" s="1">
        <v>10.901856924000001</v>
      </c>
      <c r="P154">
        <v>13.7496889368</v>
      </c>
      <c r="Q154">
        <v>16.775510450399999</v>
      </c>
      <c r="R154">
        <v>19.534347712800002</v>
      </c>
      <c r="S154">
        <v>20.424295216800001</v>
      </c>
      <c r="T154">
        <v>20.780274218400002</v>
      </c>
    </row>
    <row r="155" spans="1:20" x14ac:dyDescent="0.25">
      <c r="A155" s="1">
        <v>11.435825426399999</v>
      </c>
      <c r="B155">
        <v>14.061170563199997</v>
      </c>
      <c r="C155">
        <v>17.2649815776</v>
      </c>
      <c r="D155">
        <v>20.068316215200003</v>
      </c>
      <c r="E155">
        <v>21.314242720799999</v>
      </c>
      <c r="F155">
        <v>21.581226972</v>
      </c>
      <c r="H155" cm="1">
        <f t="array" ref="H155">INDEX($A$1:$A$201, ROWS($A$1:$A$201) - ROW(A155)+1)</f>
        <v>-8.8994750400000004</v>
      </c>
      <c r="I155" cm="1">
        <f t="array" ref="I155">INDEX(B$1:B$201, ROWS(B$1:B$201) - ROW(B155)+1)</f>
        <v>-11.302333300800001</v>
      </c>
      <c r="J155" cm="1">
        <f t="array" ref="J155">INDEX(C$1:C$201, ROWS(C$1:C$201) - ROW(C155)+1)</f>
        <v>-13.749688936800002</v>
      </c>
      <c r="K155" cm="1">
        <f t="array" ref="K155">INDEX(D$1:D$201, ROWS(D$1:D$201) - ROW(D155)+1)</f>
        <v>-15.796568196000001</v>
      </c>
      <c r="L155" cm="1">
        <f t="array" ref="L155">INDEX(E$1:E$201, ROWS(E$1:E$201) - ROW(E155)+1)</f>
        <v>-17.2649815776</v>
      </c>
      <c r="M155" cm="1">
        <f t="array" ref="M155">INDEX(F$1:F$201, ROWS(F$1:F$201) - ROW(F155)+1)</f>
        <v>-17.620960579200002</v>
      </c>
      <c r="N155" s="1"/>
      <c r="O155" s="1">
        <v>11.435825426399999</v>
      </c>
      <c r="P155">
        <v>14.061170563199997</v>
      </c>
      <c r="Q155">
        <v>17.2649815776</v>
      </c>
      <c r="R155">
        <v>20.068316215200003</v>
      </c>
      <c r="S155">
        <v>21.314242720799999</v>
      </c>
      <c r="T155">
        <v>21.581226972</v>
      </c>
    </row>
    <row r="156" spans="1:20" x14ac:dyDescent="0.25">
      <c r="A156" s="1">
        <v>11.6138149272</v>
      </c>
      <c r="B156">
        <v>14.550641690399997</v>
      </c>
      <c r="C156">
        <v>17.798950079999997</v>
      </c>
      <c r="D156">
        <v>20.824771593600005</v>
      </c>
      <c r="E156">
        <v>21.759216472800002</v>
      </c>
      <c r="F156">
        <v>22.070698099200001</v>
      </c>
      <c r="H156" cm="1">
        <f t="array" ref="H156">INDEX($A$1:$A$201, ROWS($A$1:$A$201) - ROW(A156)+1)</f>
        <v>-9.1219619160000001</v>
      </c>
      <c r="I156" cm="1">
        <f t="array" ref="I156">INDEX(B$1:B$201, ROWS(B$1:B$201) - ROW(B156)+1)</f>
        <v>-11.702809677600001</v>
      </c>
      <c r="J156" cm="1">
        <f t="array" ref="J156">INDEX(C$1:C$201, ROWS(C$1:C$201) - ROW(C156)+1)</f>
        <v>-14.150165313600001</v>
      </c>
      <c r="K156" cm="1">
        <f t="array" ref="K156">INDEX(D$1:D$201, ROWS(D$1:D$201) - ROW(D156)+1)</f>
        <v>-16.375034073600002</v>
      </c>
      <c r="L156" cm="1">
        <f t="array" ref="L156">INDEX(E$1:E$201, ROWS(E$1:E$201) - ROW(E156)+1)</f>
        <v>-17.798950080000001</v>
      </c>
      <c r="M156" cm="1">
        <f t="array" ref="M156">INDEX(F$1:F$201, ROWS(F$1:F$201) - ROW(F156)+1)</f>
        <v>-18.199426456800001</v>
      </c>
      <c r="N156" s="1"/>
      <c r="O156" s="1">
        <v>11.6138149272</v>
      </c>
      <c r="P156">
        <v>14.550641690399997</v>
      </c>
      <c r="Q156">
        <v>17.798950079999997</v>
      </c>
      <c r="R156">
        <v>20.824771593600005</v>
      </c>
      <c r="S156">
        <v>21.759216472800002</v>
      </c>
      <c r="T156">
        <v>22.070698099200001</v>
      </c>
    </row>
    <row r="157" spans="1:20" x14ac:dyDescent="0.25">
      <c r="A157" s="1">
        <v>11.8363018032</v>
      </c>
      <c r="B157">
        <v>14.995615442399998</v>
      </c>
      <c r="C157">
        <v>18.154929081600002</v>
      </c>
      <c r="D157">
        <v>21.358740096000005</v>
      </c>
      <c r="E157">
        <v>22.382179725599997</v>
      </c>
      <c r="F157">
        <v>22.8271534776</v>
      </c>
      <c r="H157" cm="1">
        <f t="array" ref="H157">INDEX($A$1:$A$201, ROWS($A$1:$A$201) - ROW(A157)+1)</f>
        <v>-9.5224382928000004</v>
      </c>
      <c r="I157" cm="1">
        <f t="array" ref="I157">INDEX(B$1:B$201, ROWS(B$1:B$201) - ROW(B157)+1)</f>
        <v>-11.9697939288</v>
      </c>
      <c r="J157" cm="1">
        <f t="array" ref="J157">INDEX(C$1:C$201, ROWS(C$1:C$201) - ROW(C157)+1)</f>
        <v>-14.5061443152</v>
      </c>
      <c r="K157" cm="1">
        <f t="array" ref="K157">INDEX(D$1:D$201, ROWS(D$1:D$201) - ROW(D157)+1)</f>
        <v>-16.686515700000001</v>
      </c>
      <c r="L157" cm="1">
        <f t="array" ref="L157">INDEX(E$1:E$201, ROWS(E$1:E$201) - ROW(E157)+1)</f>
        <v>-18.466410707999998</v>
      </c>
      <c r="M157" cm="1">
        <f t="array" ref="M157">INDEX(F$1:F$201, ROWS(F$1:F$201) - ROW(F157)+1)</f>
        <v>-18.777892334400001</v>
      </c>
      <c r="N157" s="1"/>
      <c r="O157" s="1">
        <v>11.8363018032</v>
      </c>
      <c r="P157">
        <v>14.995615442399998</v>
      </c>
      <c r="Q157">
        <v>18.154929081600002</v>
      </c>
      <c r="R157">
        <v>21.358740096000005</v>
      </c>
      <c r="S157">
        <v>22.382179725599997</v>
      </c>
      <c r="T157">
        <v>22.8271534776</v>
      </c>
    </row>
    <row r="158" spans="1:20" x14ac:dyDescent="0.25">
      <c r="A158" s="1">
        <v>12.1477834296</v>
      </c>
      <c r="B158">
        <v>15.351594444</v>
      </c>
      <c r="C158">
        <v>18.733394959200005</v>
      </c>
      <c r="D158">
        <v>21.759216472800002</v>
      </c>
      <c r="E158">
        <v>23.183132479200001</v>
      </c>
      <c r="F158">
        <v>23.895090482400001</v>
      </c>
      <c r="H158" cm="1">
        <f t="array" ref="H158">INDEX($A$1:$A$201, ROWS($A$1:$A$201) - ROW(A158)+1)</f>
        <v>-9.7004277936000012</v>
      </c>
      <c r="I158" cm="1">
        <f t="array" ref="I158">INDEX(B$1:B$201, ROWS(B$1:B$201) - ROW(B158)+1)</f>
        <v>-12.548259806400001</v>
      </c>
      <c r="J158" cm="1">
        <f t="array" ref="J158">INDEX(C$1:C$201, ROWS(C$1:C$201) - ROW(C158)+1)</f>
        <v>-14.906620692000001</v>
      </c>
      <c r="K158" cm="1">
        <f t="array" ref="K158">INDEX(D$1:D$201, ROWS(D$1:D$201) - ROW(D158)+1)</f>
        <v>-17.309478952800003</v>
      </c>
      <c r="L158" cm="1">
        <f t="array" ref="L158">INDEX(E$1:E$201, ROWS(E$1:E$201) - ROW(E158)+1)</f>
        <v>-19.044876585599997</v>
      </c>
      <c r="M158" cm="1">
        <f t="array" ref="M158">INDEX(F$1:F$201, ROWS(F$1:F$201) - ROW(F158)+1)</f>
        <v>-19.311860836800001</v>
      </c>
      <c r="N158" s="1"/>
      <c r="O158" s="1">
        <v>12.1477834296</v>
      </c>
      <c r="P158">
        <v>15.351594444</v>
      </c>
      <c r="Q158">
        <v>18.733394959200005</v>
      </c>
      <c r="R158">
        <v>21.759216472800002</v>
      </c>
      <c r="S158">
        <v>23.183132479200001</v>
      </c>
      <c r="T158">
        <v>23.895090482400001</v>
      </c>
    </row>
    <row r="159" spans="1:20" x14ac:dyDescent="0.25">
      <c r="A159" s="1">
        <v>12.5037624312</v>
      </c>
      <c r="B159">
        <v>16.019055072</v>
      </c>
      <c r="C159">
        <v>19.267363461600002</v>
      </c>
      <c r="D159">
        <v>22.337682350400005</v>
      </c>
      <c r="E159">
        <v>23.850593107199998</v>
      </c>
      <c r="F159">
        <v>24.740540611199997</v>
      </c>
      <c r="H159" cm="1">
        <f t="array" ref="H159">INDEX($A$1:$A$201, ROWS($A$1:$A$201) - ROW(A159)+1)</f>
        <v>-9.9674120448000032</v>
      </c>
      <c r="I159" cm="1">
        <f t="array" ref="I159">INDEX(B$1:B$201, ROWS(B$1:B$201) - ROW(B159)+1)</f>
        <v>-12.681751931999999</v>
      </c>
      <c r="J159" cm="1">
        <f t="array" ref="J159">INDEX(C$1:C$201, ROWS(C$1:C$201) - ROW(C159)+1)</f>
        <v>-15.351594444</v>
      </c>
      <c r="K159" cm="1">
        <f t="array" ref="K159">INDEX(D$1:D$201, ROWS(D$1:D$201) - ROW(D159)+1)</f>
        <v>-17.798950080000001</v>
      </c>
      <c r="L159" cm="1">
        <f t="array" ref="L159">INDEX(E$1:E$201, ROWS(E$1:E$201) - ROW(E159)+1)</f>
        <v>-19.578845087999998</v>
      </c>
      <c r="M159" cm="1">
        <f t="array" ref="M159">INDEX(F$1:F$201, ROWS(F$1:F$201) - ROW(F159)+1)</f>
        <v>-20.023818840000004</v>
      </c>
      <c r="N159" s="1"/>
      <c r="O159" s="1">
        <v>12.5037624312</v>
      </c>
      <c r="P159">
        <v>16.019055072</v>
      </c>
      <c r="Q159">
        <v>19.267363461600002</v>
      </c>
      <c r="R159">
        <v>22.337682350400005</v>
      </c>
      <c r="S159">
        <v>23.850593107199998</v>
      </c>
      <c r="T159">
        <v>24.740540611199997</v>
      </c>
    </row>
    <row r="160" spans="1:20" x14ac:dyDescent="0.25">
      <c r="A160" s="1">
        <v>12.859741432800002</v>
      </c>
      <c r="B160">
        <v>16.419531448800001</v>
      </c>
      <c r="C160">
        <v>19.667839838400006</v>
      </c>
      <c r="D160">
        <v>23.361121980000004</v>
      </c>
      <c r="E160">
        <v>24.562551110399998</v>
      </c>
      <c r="F160">
        <v>25.58599074</v>
      </c>
      <c r="H160" cm="1">
        <f t="array" ref="H160">INDEX($A$1:$A$201, ROWS($A$1:$A$201) - ROW(A160)+1)</f>
        <v>-10.367888421600002</v>
      </c>
      <c r="I160" cm="1">
        <f t="array" ref="I160">INDEX(B$1:B$201, ROWS(B$1:B$201) - ROW(B160)+1)</f>
        <v>-13.082228308800001</v>
      </c>
      <c r="J160" cm="1">
        <f t="array" ref="J160">INDEX(C$1:C$201, ROWS(C$1:C$201) - ROW(C160)+1)</f>
        <v>-15.4850865696</v>
      </c>
      <c r="K160" cm="1">
        <f t="array" ref="K160">INDEX(D$1:D$201, ROWS(D$1:D$201) - ROW(D160)+1)</f>
        <v>-18.243923832</v>
      </c>
      <c r="L160" cm="1">
        <f t="array" ref="L160">INDEX(E$1:E$201, ROWS(E$1:E$201) - ROW(E160)+1)</f>
        <v>-20.023818840000004</v>
      </c>
      <c r="M160" cm="1">
        <f t="array" ref="M160">INDEX(F$1:F$201, ROWS(F$1:F$201) - ROW(F160)+1)</f>
        <v>-20.691279467999998</v>
      </c>
      <c r="N160" s="1"/>
      <c r="O160" s="1">
        <v>12.859741432800002</v>
      </c>
      <c r="P160">
        <v>16.419531448800001</v>
      </c>
      <c r="Q160">
        <v>19.667839838400006</v>
      </c>
      <c r="R160">
        <v>23.361121980000004</v>
      </c>
      <c r="S160">
        <v>24.562551110399998</v>
      </c>
      <c r="T160">
        <v>25.58599074</v>
      </c>
    </row>
    <row r="161" spans="1:20" x14ac:dyDescent="0.25">
      <c r="A161" s="1">
        <v>13.304715184799999</v>
      </c>
      <c r="B161">
        <v>16.775510450399999</v>
      </c>
      <c r="C161">
        <v>20.468792592000003</v>
      </c>
      <c r="D161">
        <v>23.850593107200002</v>
      </c>
      <c r="E161">
        <v>25.363503863999998</v>
      </c>
      <c r="F161">
        <v>26.119959242400004</v>
      </c>
      <c r="H161" cm="1">
        <f t="array" ref="H161">INDEX($A$1:$A$201, ROWS($A$1:$A$201) - ROW(A161)+1)</f>
        <v>-10.545877922400001</v>
      </c>
      <c r="I161" cm="1">
        <f t="array" ref="I161">INDEX(B$1:B$201, ROWS(B$1:B$201) - ROW(B161)+1)</f>
        <v>-13.438207310400001</v>
      </c>
      <c r="J161" cm="1">
        <f t="array" ref="J161">INDEX(C$1:C$201, ROWS(C$1:C$201) - ROW(C161)+1)</f>
        <v>-16.019055072</v>
      </c>
      <c r="K161" cm="1">
        <f t="array" ref="K161">INDEX(D$1:D$201, ROWS(D$1:D$201) - ROW(D161)+1)</f>
        <v>-19.044876585600001</v>
      </c>
      <c r="L161" cm="1">
        <f t="array" ref="L161">INDEX(E$1:E$201, ROWS(E$1:E$201) - ROW(E161)+1)</f>
        <v>-20.691279467999998</v>
      </c>
      <c r="M161" cm="1">
        <f t="array" ref="M161">INDEX(F$1:F$201, ROWS(F$1:F$201) - ROW(F161)+1)</f>
        <v>-21.002761094399997</v>
      </c>
      <c r="N161" s="1"/>
      <c r="O161" s="1">
        <v>13.304715184799999</v>
      </c>
      <c r="P161">
        <v>16.775510450399999</v>
      </c>
      <c r="Q161">
        <v>20.468792592000003</v>
      </c>
      <c r="R161">
        <v>23.850593107200002</v>
      </c>
      <c r="S161">
        <v>25.363503863999998</v>
      </c>
      <c r="T161">
        <v>26.119959242400004</v>
      </c>
    </row>
    <row r="162" spans="1:20" x14ac:dyDescent="0.25">
      <c r="A162" s="1">
        <v>13.8386836872</v>
      </c>
      <c r="B162">
        <v>17.353976328000002</v>
      </c>
      <c r="C162">
        <v>20.780274218400006</v>
      </c>
      <c r="D162">
        <v>24.696043236000005</v>
      </c>
      <c r="E162">
        <v>25.941969741600001</v>
      </c>
      <c r="F162">
        <v>27.098901496800003</v>
      </c>
      <c r="H162" cm="1">
        <f t="array" ref="H162">INDEX($A$1:$A$201, ROWS($A$1:$A$201) - ROW(A162)+1)</f>
        <v>-10.7683647984</v>
      </c>
      <c r="I162" cm="1">
        <f t="array" ref="I162">INDEX(B$1:B$201, ROWS(B$1:B$201) - ROW(B162)+1)</f>
        <v>-13.705191561600001</v>
      </c>
      <c r="J162" cm="1">
        <f t="array" ref="J162">INDEX(C$1:C$201, ROWS(C$1:C$201) - ROW(C162)+1)</f>
        <v>-16.508526199200002</v>
      </c>
      <c r="K162" cm="1">
        <f t="array" ref="K162">INDEX(D$1:D$201, ROWS(D$1:D$201) - ROW(D162)+1)</f>
        <v>-19.400855587200002</v>
      </c>
      <c r="L162" cm="1">
        <f t="array" ref="L162">INDEX(E$1:E$201, ROWS(E$1:E$201) - ROW(E162)+1)</f>
        <v>-21.180750595199999</v>
      </c>
      <c r="M162" cm="1">
        <f t="array" ref="M162">INDEX(F$1:F$201, ROWS(F$1:F$201) - ROW(F162)+1)</f>
        <v>-21.581226972</v>
      </c>
      <c r="N162" s="1"/>
      <c r="O162" s="1">
        <v>13.8386836872</v>
      </c>
      <c r="P162">
        <v>17.353976328000002</v>
      </c>
      <c r="Q162">
        <v>20.780274218400006</v>
      </c>
      <c r="R162">
        <v>24.696043236000005</v>
      </c>
      <c r="S162">
        <v>25.941969741600001</v>
      </c>
      <c r="T162">
        <v>27.098901496800003</v>
      </c>
    </row>
    <row r="163" spans="1:20" x14ac:dyDescent="0.25">
      <c r="A163" s="1">
        <v>14.016673188</v>
      </c>
      <c r="B163">
        <v>17.8434474552</v>
      </c>
      <c r="C163">
        <v>21.180750595200003</v>
      </c>
      <c r="D163">
        <v>25.274509113600004</v>
      </c>
      <c r="E163">
        <v>26.920911996000001</v>
      </c>
      <c r="F163">
        <v>27.721864749599998</v>
      </c>
      <c r="H163" cm="1">
        <f t="array" ref="H163">INDEX($A$1:$A$201, ROWS($A$1:$A$201) - ROW(A163)+1)</f>
        <v>-11.168841175199999</v>
      </c>
      <c r="I163" cm="1">
        <f t="array" ref="I163">INDEX(B$1:B$201, ROWS(B$1:B$201) - ROW(B163)+1)</f>
        <v>-14.1056679384</v>
      </c>
      <c r="J163" cm="1">
        <f t="array" ref="J163">INDEX(C$1:C$201, ROWS(C$1:C$201) - ROW(C163)+1)</f>
        <v>-16.8645052008</v>
      </c>
      <c r="K163" cm="1">
        <f t="array" ref="K163">INDEX(D$1:D$201, ROWS(D$1:D$201) - ROW(D163)+1)</f>
        <v>-19.845829339200002</v>
      </c>
      <c r="L163" cm="1">
        <f t="array" ref="L163">INDEX(E$1:E$201, ROWS(E$1:E$201) - ROW(E163)+1)</f>
        <v>-21.670221722400004</v>
      </c>
      <c r="M163" cm="1">
        <f t="array" ref="M163">INDEX(F$1:F$201, ROWS(F$1:F$201) - ROW(F163)+1)</f>
        <v>-22.204190224799998</v>
      </c>
      <c r="N163" s="1"/>
      <c r="O163" s="1">
        <v>14.016673188</v>
      </c>
      <c r="P163">
        <v>17.8434474552</v>
      </c>
      <c r="Q163">
        <v>21.180750595200003</v>
      </c>
      <c r="R163">
        <v>25.274509113600004</v>
      </c>
      <c r="S163">
        <v>26.920911996000001</v>
      </c>
      <c r="T163">
        <v>27.721864749599998</v>
      </c>
    </row>
    <row r="164" spans="1:20" x14ac:dyDescent="0.25">
      <c r="A164" s="1">
        <v>14.506144315199998</v>
      </c>
      <c r="B164">
        <v>18.110431706399996</v>
      </c>
      <c r="C164">
        <v>22.026200724000002</v>
      </c>
      <c r="D164">
        <v>26.030964492000006</v>
      </c>
      <c r="E164">
        <v>27.410383123200003</v>
      </c>
      <c r="F164">
        <v>28.522817503200002</v>
      </c>
      <c r="H164" cm="1">
        <f t="array" ref="H164">INDEX($A$1:$A$201, ROWS($A$1:$A$201) - ROW(A164)+1)</f>
        <v>-11.435825426399999</v>
      </c>
      <c r="I164" cm="1">
        <f t="array" ref="I164">INDEX(B$1:B$201, ROWS(B$1:B$201) - ROW(B164)+1)</f>
        <v>-14.417149564800003</v>
      </c>
      <c r="J164" cm="1">
        <f t="array" ref="J164">INDEX(C$1:C$201, ROWS(C$1:C$201) - ROW(C164)+1)</f>
        <v>-17.309478952800003</v>
      </c>
      <c r="K164" cm="1">
        <f t="array" ref="K164">INDEX(D$1:D$201, ROWS(D$1:D$201) - ROW(D164)+1)</f>
        <v>-20.424295216800001</v>
      </c>
      <c r="L164" cm="1">
        <f t="array" ref="L164">INDEX(E$1:E$201, ROWS(E$1:E$201) - ROW(E164)+1)</f>
        <v>-22.1151954744</v>
      </c>
      <c r="M164" cm="1">
        <f t="array" ref="M164">INDEX(F$1:F$201, ROWS(F$1:F$201) - ROW(F164)+1)</f>
        <v>-22.693661352000003</v>
      </c>
      <c r="N164" s="1"/>
      <c r="O164" s="1">
        <v>14.506144315199998</v>
      </c>
      <c r="P164">
        <v>18.110431706399996</v>
      </c>
      <c r="Q164">
        <v>22.026200724000002</v>
      </c>
      <c r="R164">
        <v>26.030964492000006</v>
      </c>
      <c r="S164">
        <v>27.410383123200003</v>
      </c>
      <c r="T164">
        <v>28.522817503200002</v>
      </c>
    </row>
    <row r="165" spans="1:20" x14ac:dyDescent="0.25">
      <c r="A165" s="1">
        <v>14.951118067199999</v>
      </c>
      <c r="B165">
        <v>18.688897584000003</v>
      </c>
      <c r="C165">
        <v>22.2486876</v>
      </c>
      <c r="D165">
        <v>26.787419870400004</v>
      </c>
      <c r="E165">
        <v>28.122341126399995</v>
      </c>
      <c r="F165">
        <v>29.368267631999998</v>
      </c>
      <c r="H165" cm="1">
        <f t="array" ref="H165">INDEX($A$1:$A$201, ROWS($A$1:$A$201) - ROW(A165)+1)</f>
        <v>-11.658312302400001</v>
      </c>
      <c r="I165" cm="1">
        <f t="array" ref="I165">INDEX(B$1:B$201, ROWS(B$1:B$201) - ROW(B165)+1)</f>
        <v>-14.6396364408</v>
      </c>
      <c r="J165" cm="1">
        <f t="array" ref="J165">INDEX(C$1:C$201, ROWS(C$1:C$201) - ROW(C165)+1)</f>
        <v>-17.8434474552</v>
      </c>
      <c r="K165" cm="1">
        <f t="array" ref="K165">INDEX(D$1:D$201, ROWS(D$1:D$201) - ROW(D165)+1)</f>
        <v>-20.780274218400002</v>
      </c>
      <c r="L165" cm="1">
        <f t="array" ref="L165">INDEX(E$1:E$201, ROWS(E$1:E$201) - ROW(E165)+1)</f>
        <v>-22.738158727200002</v>
      </c>
      <c r="M165" cm="1">
        <f t="array" ref="M165">INDEX(F$1:F$201, ROWS(F$1:F$201) - ROW(F165)+1)</f>
        <v>-23.583608856000001</v>
      </c>
      <c r="N165" s="1"/>
      <c r="O165" s="1">
        <v>14.951118067199999</v>
      </c>
      <c r="P165">
        <v>18.688897584000003</v>
      </c>
      <c r="Q165">
        <v>22.2486876</v>
      </c>
      <c r="R165">
        <v>26.787419870400004</v>
      </c>
      <c r="S165">
        <v>28.122341126399995</v>
      </c>
      <c r="T165">
        <v>29.368267631999998</v>
      </c>
    </row>
    <row r="166" spans="1:20" x14ac:dyDescent="0.25">
      <c r="A166" s="1">
        <v>15.173604943200001</v>
      </c>
      <c r="B166">
        <v>18.866887084800002</v>
      </c>
      <c r="C166">
        <v>22.9606456032</v>
      </c>
      <c r="D166">
        <v>27.054404121600005</v>
      </c>
      <c r="E166">
        <v>28.700807004000001</v>
      </c>
      <c r="F166">
        <v>29.9912308848</v>
      </c>
      <c r="H166" cm="1">
        <f t="array" ref="H166">INDEX($A$1:$A$201, ROWS($A$1:$A$201) - ROW(A166)+1)</f>
        <v>-11.9697939288</v>
      </c>
      <c r="I166" cm="1">
        <f t="array" ref="I166">INDEX(B$1:B$201, ROWS(B$1:B$201) - ROW(B166)+1)</f>
        <v>-15.040112817599999</v>
      </c>
      <c r="J166" cm="1">
        <f t="array" ref="J166">INDEX(C$1:C$201, ROWS(C$1:C$201) - ROW(C166)+1)</f>
        <v>-18.555405458399999</v>
      </c>
      <c r="K166" cm="1">
        <f t="array" ref="K166">INDEX(D$1:D$201, ROWS(D$1:D$201) - ROW(D166)+1)</f>
        <v>-21.536729596800001</v>
      </c>
      <c r="L166" cm="1">
        <f t="array" ref="L166">INDEX(E$1:E$201, ROWS(E$1:E$201) - ROW(E166)+1)</f>
        <v>-23.183132479200001</v>
      </c>
      <c r="M166" cm="1">
        <f t="array" ref="M166">INDEX(F$1:F$201, ROWS(F$1:F$201) - ROW(F166)+1)</f>
        <v>-23.895090482400001</v>
      </c>
      <c r="N166" s="1"/>
      <c r="O166" s="1">
        <v>15.173604943200001</v>
      </c>
      <c r="P166">
        <v>18.866887084800002</v>
      </c>
      <c r="Q166">
        <v>22.9606456032</v>
      </c>
      <c r="R166">
        <v>27.054404121600005</v>
      </c>
      <c r="S166">
        <v>28.700807004000001</v>
      </c>
      <c r="T166">
        <v>29.9912308848</v>
      </c>
    </row>
    <row r="167" spans="1:20" x14ac:dyDescent="0.25">
      <c r="A167" s="1">
        <v>15.4850865696</v>
      </c>
      <c r="B167">
        <v>19.267363461600002</v>
      </c>
      <c r="C167">
        <v>23.806095732000003</v>
      </c>
      <c r="D167">
        <v>27.855356875200005</v>
      </c>
      <c r="E167">
        <v>29.546257132800001</v>
      </c>
      <c r="F167">
        <v>30.747686263199999</v>
      </c>
      <c r="H167" cm="1">
        <f t="array" ref="H167">INDEX($A$1:$A$201, ROWS($A$1:$A$201) - ROW(A167)+1)</f>
        <v>-12.325772930399999</v>
      </c>
      <c r="I167" cm="1">
        <f t="array" ref="I167">INDEX(B$1:B$201, ROWS(B$1:B$201) - ROW(B167)+1)</f>
        <v>-15.307097068800001</v>
      </c>
      <c r="J167" cm="1">
        <f t="array" ref="J167">INDEX(C$1:C$201, ROWS(C$1:C$201) - ROW(C167)+1)</f>
        <v>-18.733394959200002</v>
      </c>
      <c r="K167" cm="1">
        <f t="array" ref="K167">INDEX(D$1:D$201, ROWS(D$1:D$201) - ROW(D167)+1)</f>
        <v>-21.937205973599998</v>
      </c>
      <c r="L167" cm="1">
        <f t="array" ref="L167">INDEX(E$1:E$201, ROWS(E$1:E$201) - ROW(E167)+1)</f>
        <v>-23.7615983568</v>
      </c>
      <c r="M167" cm="1">
        <f t="array" ref="M167">INDEX(F$1:F$201, ROWS(F$1:F$201) - ROW(F167)+1)</f>
        <v>-24.518053735199999</v>
      </c>
      <c r="N167" s="1"/>
      <c r="O167" s="1">
        <v>15.4850865696</v>
      </c>
      <c r="P167">
        <v>19.267363461600002</v>
      </c>
      <c r="Q167">
        <v>23.806095732000003</v>
      </c>
      <c r="R167">
        <v>27.855356875200005</v>
      </c>
      <c r="S167">
        <v>29.546257132800001</v>
      </c>
      <c r="T167">
        <v>30.747686263199999</v>
      </c>
    </row>
    <row r="168" spans="1:20" x14ac:dyDescent="0.25">
      <c r="A168" s="1">
        <v>15.930060321600001</v>
      </c>
      <c r="B168">
        <v>19.934824089599999</v>
      </c>
      <c r="C168">
        <v>24.562551110400001</v>
      </c>
      <c r="D168">
        <v>28.3448280024</v>
      </c>
      <c r="E168">
        <v>30.436204636800003</v>
      </c>
      <c r="F168">
        <v>31.593136392000002</v>
      </c>
      <c r="H168" cm="1">
        <f t="array" ref="H168">INDEX($A$1:$A$201, ROWS($A$1:$A$201) - ROW(A168)+1)</f>
        <v>-12.6372545568</v>
      </c>
      <c r="I168" cm="1">
        <f t="array" ref="I168">INDEX(B$1:B$201, ROWS(B$1:B$201) - ROW(B168)+1)</f>
        <v>-15.796568196000001</v>
      </c>
      <c r="J168" cm="1">
        <f t="array" ref="J168">INDEX(C$1:C$201, ROWS(C$1:C$201) - ROW(C168)+1)</f>
        <v>-19.4898503376</v>
      </c>
      <c r="K168" cm="1">
        <f t="array" ref="K168">INDEX(D$1:D$201, ROWS(D$1:D$201) - ROW(D168)+1)</f>
        <v>-22.337682350399998</v>
      </c>
      <c r="L168" cm="1">
        <f t="array" ref="L168">INDEX(E$1:E$201, ROWS(E$1:E$201) - ROW(E168)+1)</f>
        <v>-24.295566859200001</v>
      </c>
      <c r="M168" cm="1">
        <f t="array" ref="M168">INDEX(F$1:F$201, ROWS(F$1:F$201) - ROW(F168)+1)</f>
        <v>-24.963027487199998</v>
      </c>
      <c r="N168" s="1"/>
      <c r="O168" s="1">
        <v>15.930060321600001</v>
      </c>
      <c r="P168">
        <v>19.934824089599999</v>
      </c>
      <c r="Q168">
        <v>24.562551110400001</v>
      </c>
      <c r="R168">
        <v>28.3448280024</v>
      </c>
      <c r="S168">
        <v>30.436204636800003</v>
      </c>
      <c r="T168">
        <v>31.593136392000002</v>
      </c>
    </row>
    <row r="169" spans="1:20" x14ac:dyDescent="0.25">
      <c r="A169" s="1">
        <v>16.241541948000002</v>
      </c>
      <c r="B169">
        <v>20.468792592</v>
      </c>
      <c r="C169">
        <v>25.141016988000004</v>
      </c>
      <c r="D169">
        <v>29.190278131200003</v>
      </c>
      <c r="E169">
        <v>30.881178388799999</v>
      </c>
      <c r="F169">
        <v>32.171602269600001</v>
      </c>
      <c r="H169" cm="1">
        <f t="array" ref="H169">INDEX($A$1:$A$201, ROWS($A$1:$A$201) - ROW(A169)+1)</f>
        <v>-12.948736183200001</v>
      </c>
      <c r="I169" cm="1">
        <f t="array" ref="I169">INDEX(B$1:B$201, ROWS(B$1:B$201) - ROW(B169)+1)</f>
        <v>-16.197044572800003</v>
      </c>
      <c r="J169" cm="1">
        <f t="array" ref="J169">INDEX(C$1:C$201, ROWS(C$1:C$201) - ROW(C169)+1)</f>
        <v>-19.8903267144</v>
      </c>
      <c r="K169" cm="1">
        <f t="array" ref="K169">INDEX(D$1:D$201, ROWS(D$1:D$201) - ROW(D169)+1)</f>
        <v>-23.094137728800003</v>
      </c>
      <c r="L169" cm="1">
        <f t="array" ref="L169">INDEX(E$1:E$201, ROWS(E$1:E$201) - ROW(E169)+1)</f>
        <v>-24.785037986399999</v>
      </c>
      <c r="M169" cm="1">
        <f t="array" ref="M169">INDEX(F$1:F$201, ROWS(F$1:F$201) - ROW(F169)+1)</f>
        <v>-25.541493364799997</v>
      </c>
      <c r="N169" s="1"/>
      <c r="O169" s="1">
        <v>16.241541948000002</v>
      </c>
      <c r="P169">
        <v>20.468792592</v>
      </c>
      <c r="Q169">
        <v>25.141016988000004</v>
      </c>
      <c r="R169">
        <v>29.190278131200003</v>
      </c>
      <c r="S169">
        <v>30.881178388799999</v>
      </c>
      <c r="T169">
        <v>32.171602269600001</v>
      </c>
    </row>
    <row r="170" spans="1:20" x14ac:dyDescent="0.25">
      <c r="A170" s="1">
        <v>16.5975209496</v>
      </c>
      <c r="B170">
        <v>20.913766343999999</v>
      </c>
      <c r="C170">
        <v>25.852974991200004</v>
      </c>
      <c r="D170">
        <v>29.946733509600001</v>
      </c>
      <c r="E170">
        <v>31.459644266400002</v>
      </c>
      <c r="F170">
        <v>32.928057648000006</v>
      </c>
      <c r="H170" cm="1">
        <f t="array" ref="H170">INDEX($A$1:$A$201, ROWS($A$1:$A$201) - ROW(A170)+1)</f>
        <v>-13.037730933600002</v>
      </c>
      <c r="I170" cm="1">
        <f t="array" ref="I170">INDEX(B$1:B$201, ROWS(B$1:B$201) - ROW(B170)+1)</f>
        <v>-16.3305366984</v>
      </c>
      <c r="J170" cm="1">
        <f t="array" ref="J170">INDEX(C$1:C$201, ROWS(C$1:C$201) - ROW(C170)+1)</f>
        <v>-20.157310965599997</v>
      </c>
      <c r="K170" cm="1">
        <f t="array" ref="K170">INDEX(D$1:D$201, ROWS(D$1:D$201) - ROW(D170)+1)</f>
        <v>-23.361121980000004</v>
      </c>
      <c r="L170" cm="1">
        <f t="array" ref="L170">INDEX(E$1:E$201, ROWS(E$1:E$201) - ROW(E170)+1)</f>
        <v>-25.363503863999998</v>
      </c>
      <c r="M170" cm="1">
        <f t="array" ref="M170">INDEX(F$1:F$201, ROWS(F$1:F$201) - ROW(F170)+1)</f>
        <v>-26.208953992800001</v>
      </c>
      <c r="N170" s="1"/>
      <c r="O170" s="1">
        <v>16.5975209496</v>
      </c>
      <c r="P170">
        <v>20.913766343999999</v>
      </c>
      <c r="Q170">
        <v>25.852974991200004</v>
      </c>
      <c r="R170">
        <v>29.946733509600001</v>
      </c>
      <c r="S170">
        <v>31.459644266400002</v>
      </c>
      <c r="T170">
        <v>32.928057648000006</v>
      </c>
    </row>
    <row r="171" spans="1:20" x14ac:dyDescent="0.25">
      <c r="A171" s="1">
        <v>16.953499951200001</v>
      </c>
      <c r="B171">
        <v>21.358740095999998</v>
      </c>
      <c r="C171">
        <v>26.075461867200005</v>
      </c>
      <c r="D171">
        <v>30.480702012000005</v>
      </c>
      <c r="E171">
        <v>32.038110144000001</v>
      </c>
      <c r="F171">
        <v>33.773507776800002</v>
      </c>
      <c r="H171" cm="1">
        <f t="array" ref="H171">INDEX($A$1:$A$201, ROWS($A$1:$A$201) - ROW(A171)+1)</f>
        <v>-13.34921256</v>
      </c>
      <c r="I171" cm="1">
        <f t="array" ref="I171">INDEX(B$1:B$201, ROWS(B$1:B$201) - ROW(B171)+1)</f>
        <v>-16.9979973264</v>
      </c>
      <c r="J171" cm="1">
        <f t="array" ref="J171">INDEX(C$1:C$201, ROWS(C$1:C$201) - ROW(C171)+1)</f>
        <v>-20.780274218400002</v>
      </c>
      <c r="K171" cm="1">
        <f t="array" ref="K171">INDEX(D$1:D$201, ROWS(D$1:D$201) - ROW(D171)+1)</f>
        <v>-24.073079983200003</v>
      </c>
      <c r="L171" cm="1">
        <f t="array" ref="L171">INDEX(E$1:E$201, ROWS(E$1:E$201) - ROW(E171)+1)</f>
        <v>-26.075461867199998</v>
      </c>
      <c r="M171" cm="1">
        <f t="array" ref="M171">INDEX(F$1:F$201, ROWS(F$1:F$201) - ROW(F171)+1)</f>
        <v>-26.8319172456</v>
      </c>
      <c r="N171" s="1"/>
      <c r="O171" s="1">
        <v>16.953499951200001</v>
      </c>
      <c r="P171">
        <v>21.358740095999998</v>
      </c>
      <c r="Q171">
        <v>26.075461867200005</v>
      </c>
      <c r="R171">
        <v>30.480702012000005</v>
      </c>
      <c r="S171">
        <v>32.038110144000001</v>
      </c>
      <c r="T171">
        <v>33.773507776800002</v>
      </c>
    </row>
    <row r="172" spans="1:20" x14ac:dyDescent="0.25">
      <c r="A172" s="1">
        <v>17.398473703200001</v>
      </c>
      <c r="B172">
        <v>21.937205973599998</v>
      </c>
      <c r="C172">
        <v>27.054404121600005</v>
      </c>
      <c r="D172">
        <v>31.103665264800004</v>
      </c>
      <c r="E172">
        <v>33.284036649599997</v>
      </c>
      <c r="F172">
        <v>34.796947406400001</v>
      </c>
      <c r="H172" cm="1">
        <f t="array" ref="H172">INDEX($A$1:$A$201, ROWS($A$1:$A$201) - ROW(A172)+1)</f>
        <v>-13.8386836872</v>
      </c>
      <c r="I172" cm="1">
        <f t="array" ref="I172">INDEX(B$1:B$201, ROWS(B$1:B$201) - ROW(B172)+1)</f>
        <v>-17.442971078399999</v>
      </c>
      <c r="J172" cm="1">
        <f t="array" ref="J172">INDEX(C$1:C$201, ROWS(C$1:C$201) - ROW(C172)+1)</f>
        <v>-21.358740095999998</v>
      </c>
      <c r="K172" cm="1">
        <f t="array" ref="K172">INDEX(D$1:D$201, ROWS(D$1:D$201) - ROW(D172)+1)</f>
        <v>-24.6070484856</v>
      </c>
      <c r="L172" cm="1">
        <f t="array" ref="L172">INDEX(E$1:E$201, ROWS(E$1:E$201) - ROW(E172)+1)</f>
        <v>-26.475938244000002</v>
      </c>
      <c r="M172" cm="1">
        <f t="array" ref="M172">INDEX(F$1:F$201, ROWS(F$1:F$201) - ROW(F172)+1)</f>
        <v>-27.2323936224</v>
      </c>
      <c r="N172" s="1"/>
      <c r="O172" s="1">
        <v>17.398473703200001</v>
      </c>
      <c r="P172">
        <v>21.937205973599998</v>
      </c>
      <c r="Q172">
        <v>27.054404121600005</v>
      </c>
      <c r="R172">
        <v>31.103665264800004</v>
      </c>
      <c r="S172">
        <v>33.284036649599997</v>
      </c>
      <c r="T172">
        <v>34.796947406400001</v>
      </c>
    </row>
    <row r="173" spans="1:20" x14ac:dyDescent="0.25">
      <c r="A173" s="1">
        <v>17.665457954400001</v>
      </c>
      <c r="B173">
        <v>22.293184975199999</v>
      </c>
      <c r="C173">
        <v>27.276890997600002</v>
      </c>
      <c r="D173">
        <v>31.548639016800003</v>
      </c>
      <c r="E173">
        <v>33.906999902400003</v>
      </c>
      <c r="F173">
        <v>35.731392285600009</v>
      </c>
      <c r="H173" cm="1">
        <f t="array" ref="H173">INDEX($A$1:$A$201, ROWS($A$1:$A$201) - ROW(A173)+1)</f>
        <v>-14.150165313600001</v>
      </c>
      <c r="I173" cm="1">
        <f t="array" ref="I173">INDEX(B$1:B$201, ROWS(B$1:B$201) - ROW(B173)+1)</f>
        <v>-17.7099553296</v>
      </c>
      <c r="J173" cm="1">
        <f t="array" ref="J173">INDEX(C$1:C$201, ROWS(C$1:C$201) - ROW(C173)+1)</f>
        <v>-21.625724347199998</v>
      </c>
      <c r="K173" cm="1">
        <f t="array" ref="K173">INDEX(D$1:D$201, ROWS(D$1:D$201) - ROW(D173)+1)</f>
        <v>-25.0075248624</v>
      </c>
      <c r="L173" cm="1">
        <f t="array" ref="L173">INDEX(E$1:E$201, ROWS(E$1:E$201) - ROW(E173)+1)</f>
        <v>-27.2323936224</v>
      </c>
      <c r="M173" cm="1">
        <f t="array" ref="M173">INDEX(F$1:F$201, ROWS(F$1:F$201) - ROW(F173)+1)</f>
        <v>-28.166838501600001</v>
      </c>
      <c r="N173" s="1"/>
      <c r="O173" s="1">
        <v>17.665457954400001</v>
      </c>
      <c r="P173">
        <v>22.293184975199999</v>
      </c>
      <c r="Q173">
        <v>27.276890997600002</v>
      </c>
      <c r="R173">
        <v>31.548639016800003</v>
      </c>
      <c r="S173">
        <v>33.906999902400003</v>
      </c>
      <c r="T173">
        <v>35.731392285600009</v>
      </c>
    </row>
    <row r="174" spans="1:20" x14ac:dyDescent="0.25">
      <c r="A174" s="1">
        <v>18.1104317064</v>
      </c>
      <c r="B174">
        <v>22.871650852799998</v>
      </c>
      <c r="C174">
        <v>28.255833252000002</v>
      </c>
      <c r="D174">
        <v>32.394089145600006</v>
      </c>
      <c r="E174">
        <v>34.707952656000003</v>
      </c>
      <c r="F174">
        <v>36.532345039200003</v>
      </c>
      <c r="H174" cm="1">
        <f t="array" ref="H174">INDEX($A$1:$A$201, ROWS($A$1:$A$201) - ROW(A174)+1)</f>
        <v>-14.417149564800003</v>
      </c>
      <c r="I174" cm="1">
        <f t="array" ref="I174">INDEX(B$1:B$201, ROWS(B$1:B$201) - ROW(B174)+1)</f>
        <v>-18.1104317064</v>
      </c>
      <c r="J174" cm="1">
        <f t="array" ref="J174">INDEX(C$1:C$201, ROWS(C$1:C$201) - ROW(C174)+1)</f>
        <v>-22.159692849599999</v>
      </c>
      <c r="K174" cm="1">
        <f t="array" ref="K174">INDEX(D$1:D$201, ROWS(D$1:D$201) - ROW(D174)+1)</f>
        <v>-25.319006488800007</v>
      </c>
      <c r="L174" cm="1">
        <f t="array" ref="L174">INDEX(E$1:E$201, ROWS(E$1:E$201) - ROW(E174)+1)</f>
        <v>-27.899854250400001</v>
      </c>
      <c r="M174" cm="1">
        <f t="array" ref="M174">INDEX(F$1:F$201, ROWS(F$1:F$201) - ROW(F174)+1)</f>
        <v>-28.8787965048</v>
      </c>
      <c r="N174" s="1"/>
      <c r="O174" s="1">
        <v>18.1104317064</v>
      </c>
      <c r="P174">
        <v>22.871650852799998</v>
      </c>
      <c r="Q174">
        <v>28.255833252000002</v>
      </c>
      <c r="R174">
        <v>32.394089145600006</v>
      </c>
      <c r="S174">
        <v>34.707952656000003</v>
      </c>
      <c r="T174">
        <v>36.532345039200003</v>
      </c>
    </row>
    <row r="175" spans="1:20" x14ac:dyDescent="0.25">
      <c r="A175" s="1">
        <v>18.421913332800003</v>
      </c>
      <c r="B175">
        <v>23.539111480800003</v>
      </c>
      <c r="C175">
        <v>28.789801754400006</v>
      </c>
      <c r="D175">
        <v>33.106047148800002</v>
      </c>
      <c r="E175">
        <v>35.597900160000002</v>
      </c>
      <c r="F175">
        <v>37.733774169600004</v>
      </c>
      <c r="H175" cm="1">
        <f t="array" ref="H175">INDEX($A$1:$A$201, ROWS($A$1:$A$201) - ROW(A175)+1)</f>
        <v>-14.728631191200002</v>
      </c>
      <c r="I175" cm="1">
        <f t="array" ref="I175">INDEX(B$1:B$201, ROWS(B$1:B$201) - ROW(B175)+1)</f>
        <v>-18.466410708000002</v>
      </c>
      <c r="J175" cm="1">
        <f t="array" ref="J175">INDEX(C$1:C$201, ROWS(C$1:C$201) - ROW(C175)+1)</f>
        <v>-22.916148227999997</v>
      </c>
      <c r="K175" cm="1">
        <f t="array" ref="K175">INDEX(D$1:D$201, ROWS(D$1:D$201) - ROW(D175)+1)</f>
        <v>-26.075461867200005</v>
      </c>
      <c r="L175" cm="1">
        <f t="array" ref="L175">INDEX(E$1:E$201, ROWS(E$1:E$201) - ROW(E175)+1)</f>
        <v>-28.255833251999999</v>
      </c>
      <c r="M175" cm="1">
        <f t="array" ref="M175">INDEX(F$1:F$201, ROWS(F$1:F$201) - ROW(F175)+1)</f>
        <v>-29.457262382400003</v>
      </c>
      <c r="N175" s="1"/>
      <c r="O175" s="1">
        <v>18.421913332800003</v>
      </c>
      <c r="P175">
        <v>23.539111480800003</v>
      </c>
      <c r="Q175">
        <v>28.789801754400006</v>
      </c>
      <c r="R175">
        <v>33.106047148800002</v>
      </c>
      <c r="S175">
        <v>35.597900160000002</v>
      </c>
      <c r="T175">
        <v>37.733774169600004</v>
      </c>
    </row>
    <row r="176" spans="1:20" x14ac:dyDescent="0.25">
      <c r="A176" s="1">
        <v>18.777892334400004</v>
      </c>
      <c r="B176">
        <v>24.162074733600001</v>
      </c>
      <c r="C176">
        <v>29.368267632000006</v>
      </c>
      <c r="D176">
        <v>33.551020900799998</v>
      </c>
      <c r="E176">
        <v>36.532345039199996</v>
      </c>
      <c r="F176">
        <v>38.890705924800002</v>
      </c>
      <c r="H176" cm="1">
        <f t="array" ref="H176">INDEX($A$1:$A$201, ROWS($A$1:$A$201) - ROW(A176)+1)</f>
        <v>-15.084610192800001</v>
      </c>
      <c r="I176" cm="1">
        <f t="array" ref="I176">INDEX(B$1:B$201, ROWS(B$1:B$201) - ROW(B176)+1)</f>
        <v>-19.0893739608</v>
      </c>
      <c r="J176" cm="1">
        <f t="array" ref="J176">INDEX(C$1:C$201, ROWS(C$1:C$201) - ROW(C176)+1)</f>
        <v>-23.049640353599997</v>
      </c>
      <c r="K176" cm="1">
        <f t="array" ref="K176">INDEX(D$1:D$201, ROWS(D$1:D$201) - ROW(D176)+1)</f>
        <v>-26.564932994399999</v>
      </c>
      <c r="L176" cm="1">
        <f t="array" ref="L176">INDEX(E$1:E$201, ROWS(E$1:E$201) - ROW(E176)+1)</f>
        <v>-29.012288630399997</v>
      </c>
      <c r="M176" cm="1">
        <f t="array" ref="M176">INDEX(F$1:F$201, ROWS(F$1:F$201) - ROW(F176)+1)</f>
        <v>-30.658691512800001</v>
      </c>
      <c r="N176" s="1"/>
      <c r="O176" s="1">
        <v>18.777892334400004</v>
      </c>
      <c r="P176">
        <v>24.162074733600001</v>
      </c>
      <c r="Q176">
        <v>29.368267632000006</v>
      </c>
      <c r="R176">
        <v>33.551020900799998</v>
      </c>
      <c r="S176">
        <v>36.532345039199996</v>
      </c>
      <c r="T176">
        <v>38.890705924800002</v>
      </c>
    </row>
    <row r="177" spans="1:20" x14ac:dyDescent="0.25">
      <c r="A177" s="1">
        <v>19.534347712800002</v>
      </c>
      <c r="B177">
        <v>24.607048485599996</v>
      </c>
      <c r="C177">
        <v>29.902236134400002</v>
      </c>
      <c r="D177">
        <v>34.440968404800003</v>
      </c>
      <c r="E177">
        <v>37.199805667199996</v>
      </c>
      <c r="F177">
        <v>40.225627180800004</v>
      </c>
      <c r="H177" cm="1">
        <f t="array" ref="H177">INDEX($A$1:$A$201, ROWS($A$1:$A$201) - ROW(A177)+1)</f>
        <v>-15.262599693600002</v>
      </c>
      <c r="I177" cm="1">
        <f t="array" ref="I177">INDEX(B$1:B$201, ROWS(B$1:B$201) - ROW(B177)+1)</f>
        <v>-19.445352962400001</v>
      </c>
      <c r="J177" cm="1">
        <f t="array" ref="J177">INDEX(C$1:C$201, ROWS(C$1:C$201) - ROW(C177)+1)</f>
        <v>-23.628106231199997</v>
      </c>
      <c r="K177" cm="1">
        <f t="array" ref="K177">INDEX(D$1:D$201, ROWS(D$1:D$201) - ROW(D177)+1)</f>
        <v>-27.187896247200001</v>
      </c>
      <c r="L177" cm="1">
        <f t="array" ref="L177">INDEX(E$1:E$201, ROWS(E$1:E$201) - ROW(E177)+1)</f>
        <v>-29.7242466336</v>
      </c>
      <c r="M177" cm="1">
        <f t="array" ref="M177">INDEX(F$1:F$201, ROWS(F$1:F$201) - ROW(F177)+1)</f>
        <v>-31.014670514399999</v>
      </c>
      <c r="N177" s="1"/>
      <c r="O177" s="1">
        <v>19.534347712800002</v>
      </c>
      <c r="P177">
        <v>24.607048485599996</v>
      </c>
      <c r="Q177">
        <v>29.902236134400002</v>
      </c>
      <c r="R177">
        <v>34.440968404800003</v>
      </c>
      <c r="S177">
        <v>37.199805667199996</v>
      </c>
      <c r="T177">
        <v>40.225627180800004</v>
      </c>
    </row>
    <row r="178" spans="1:20" x14ac:dyDescent="0.25">
      <c r="A178" s="1">
        <v>19.578845088000001</v>
      </c>
      <c r="B178">
        <v>25.141016988000001</v>
      </c>
      <c r="C178">
        <v>30.703188888</v>
      </c>
      <c r="D178">
        <v>35.375413284000004</v>
      </c>
      <c r="E178">
        <v>38.490229548000002</v>
      </c>
      <c r="F178">
        <v>41.293564185600012</v>
      </c>
      <c r="H178" cm="1">
        <f t="array" ref="H178">INDEX($A$1:$A$201, ROWS($A$1:$A$201) - ROW(A178)+1)</f>
        <v>-15.6185786952</v>
      </c>
      <c r="I178" cm="1">
        <f t="array" ref="I178">INDEX(B$1:B$201, ROWS(B$1:B$201) - ROW(B178)+1)</f>
        <v>-19.712337213600001</v>
      </c>
      <c r="J178" cm="1">
        <f t="array" ref="J178">INDEX(C$1:C$201, ROWS(C$1:C$201) - ROW(C178)+1)</f>
        <v>-24.073079983200003</v>
      </c>
      <c r="K178" cm="1">
        <f t="array" ref="K178">INDEX(D$1:D$201, ROWS(D$1:D$201) - ROW(D178)+1)</f>
        <v>-27.677367374399999</v>
      </c>
      <c r="L178" cm="1">
        <f t="array" ref="L178">INDEX(E$1:E$201, ROWS(E$1:E$201) - ROW(E178)+1)</f>
        <v>-30.347209886399998</v>
      </c>
      <c r="M178" cm="1">
        <f t="array" ref="M178">INDEX(F$1:F$201, ROWS(F$1:F$201) - ROW(F178)+1)</f>
        <v>-32.260597020000006</v>
      </c>
      <c r="N178" s="1"/>
      <c r="O178" s="1">
        <v>19.578845088000001</v>
      </c>
      <c r="P178">
        <v>25.141016988000001</v>
      </c>
      <c r="Q178">
        <v>30.703188888</v>
      </c>
      <c r="R178">
        <v>35.375413284000004</v>
      </c>
      <c r="S178">
        <v>38.490229548000002</v>
      </c>
      <c r="T178">
        <v>41.293564185600012</v>
      </c>
    </row>
    <row r="179" spans="1:20" x14ac:dyDescent="0.25">
      <c r="A179" s="1">
        <v>20.2018083408</v>
      </c>
      <c r="B179">
        <v>25.674985490399997</v>
      </c>
      <c r="C179">
        <v>31.281654765600003</v>
      </c>
      <c r="D179">
        <v>36.131868662400002</v>
      </c>
      <c r="E179">
        <v>39.424674427200003</v>
      </c>
      <c r="F179">
        <v>42.450495940800003</v>
      </c>
      <c r="H179" cm="1">
        <f t="array" ref="H179">INDEX($A$1:$A$201, ROWS($A$1:$A$201) - ROW(A179)+1)</f>
        <v>-15.885562946399999</v>
      </c>
      <c r="I179" cm="1">
        <f t="array" ref="I179">INDEX(B$1:B$201, ROWS(B$1:B$201) - ROW(B179)+1)</f>
        <v>-20.290803091199997</v>
      </c>
      <c r="J179" cm="1">
        <f t="array" ref="J179">INDEX(C$1:C$201, ROWS(C$1:C$201) - ROW(C179)+1)</f>
        <v>-24.429058984800001</v>
      </c>
      <c r="K179" cm="1">
        <f t="array" ref="K179">INDEX(D$1:D$201, ROWS(D$1:D$201) - ROW(D179)+1)</f>
        <v>-28.077843751199996</v>
      </c>
      <c r="L179" cm="1">
        <f t="array" ref="L179">INDEX(E$1:E$201, ROWS(E$1:E$201) - ROW(E179)+1)</f>
        <v>-31.326152140800001</v>
      </c>
      <c r="M179" cm="1">
        <f t="array" ref="M179">INDEX(F$1:F$201, ROWS(F$1:F$201) - ROW(F179)+1)</f>
        <v>-32.928057647999999</v>
      </c>
      <c r="N179" s="1"/>
      <c r="O179" s="1">
        <v>20.2018083408</v>
      </c>
      <c r="P179">
        <v>25.674985490399997</v>
      </c>
      <c r="Q179">
        <v>31.281654765600003</v>
      </c>
      <c r="R179">
        <v>36.131868662400002</v>
      </c>
      <c r="S179">
        <v>39.424674427200003</v>
      </c>
      <c r="T179">
        <v>42.450495940800003</v>
      </c>
    </row>
    <row r="180" spans="1:20" x14ac:dyDescent="0.25">
      <c r="A180" s="1">
        <v>20.513289967200002</v>
      </c>
      <c r="B180">
        <v>26.030964491999999</v>
      </c>
      <c r="C180">
        <v>31.726628517600005</v>
      </c>
      <c r="D180">
        <v>36.665837164800003</v>
      </c>
      <c r="E180">
        <v>40.626103557599997</v>
      </c>
      <c r="F180">
        <v>43.384940820000004</v>
      </c>
      <c r="H180" cm="1">
        <f t="array" ref="H180">INDEX($A$1:$A$201, ROWS($A$1:$A$201) - ROW(A180)+1)</f>
        <v>-16.197044572800003</v>
      </c>
      <c r="I180" cm="1">
        <f t="array" ref="I180">INDEX(B$1:B$201, ROWS(B$1:B$201) - ROW(B180)+1)</f>
        <v>-20.557787342400001</v>
      </c>
      <c r="J180" cm="1">
        <f t="array" ref="J180">INDEX(C$1:C$201, ROWS(C$1:C$201) - ROW(C180)+1)</f>
        <v>-24.785037986399999</v>
      </c>
      <c r="K180" cm="1">
        <f t="array" ref="K180">INDEX(D$1:D$201, ROWS(D$1:D$201) - ROW(D180)+1)</f>
        <v>-28.834299129600005</v>
      </c>
      <c r="L180" cm="1">
        <f t="array" ref="L180">INDEX(E$1:E$201, ROWS(E$1:E$201) - ROW(E180)+1)</f>
        <v>-32.038110144000001</v>
      </c>
      <c r="M180" cm="1">
        <f t="array" ref="M180">INDEX(F$1:F$201, ROWS(F$1:F$201) - ROW(F180)+1)</f>
        <v>-34.1294867784</v>
      </c>
      <c r="N180" s="1"/>
      <c r="O180" s="1">
        <v>20.513289967200002</v>
      </c>
      <c r="P180">
        <v>26.030964491999999</v>
      </c>
      <c r="Q180">
        <v>31.726628517600005</v>
      </c>
      <c r="R180">
        <v>36.665837164800003</v>
      </c>
      <c r="S180">
        <v>40.626103557599997</v>
      </c>
      <c r="T180">
        <v>43.384940820000004</v>
      </c>
    </row>
    <row r="181" spans="1:20" x14ac:dyDescent="0.25">
      <c r="A181" s="1">
        <v>20.824771593600005</v>
      </c>
      <c r="B181">
        <v>26.609430369599998</v>
      </c>
      <c r="C181">
        <v>32.616576021599997</v>
      </c>
      <c r="D181">
        <v>37.466789918400004</v>
      </c>
      <c r="E181">
        <v>41.293564185599998</v>
      </c>
      <c r="F181">
        <v>44.67536470080001</v>
      </c>
      <c r="H181" cm="1">
        <f t="array" ref="H181">INDEX($A$1:$A$201, ROWS($A$1:$A$201) - ROW(A181)+1)</f>
        <v>-16.508526199200002</v>
      </c>
      <c r="I181" cm="1">
        <f t="array" ref="I181">INDEX(B$1:B$201, ROWS(B$1:B$201) - ROW(B181)+1)</f>
        <v>-21.002761094399997</v>
      </c>
      <c r="J181" cm="1">
        <f t="array" ref="J181">INDEX(C$1:C$201, ROWS(C$1:C$201) - ROW(C181)+1)</f>
        <v>-25.4524986144</v>
      </c>
      <c r="K181" cm="1">
        <f t="array" ref="K181">INDEX(D$1:D$201, ROWS(D$1:D$201) - ROW(D181)+1)</f>
        <v>-29.368267631999998</v>
      </c>
      <c r="L181" cm="1">
        <f t="array" ref="L181">INDEX(E$1:E$201, ROWS(E$1:E$201) - ROW(E181)+1)</f>
        <v>-32.928057647999999</v>
      </c>
      <c r="M181" cm="1">
        <f t="array" ref="M181">INDEX(F$1:F$201, ROWS(F$1:F$201) - ROW(F181)+1)</f>
        <v>-34.885942156799999</v>
      </c>
      <c r="N181" s="1"/>
      <c r="O181" s="1">
        <v>20.824771593600005</v>
      </c>
      <c r="P181">
        <v>26.609430369599998</v>
      </c>
      <c r="Q181">
        <v>32.616576021599997</v>
      </c>
      <c r="R181">
        <v>37.466789918400004</v>
      </c>
      <c r="S181">
        <v>41.293564185599998</v>
      </c>
      <c r="T181">
        <v>44.67536470080001</v>
      </c>
    </row>
    <row r="182" spans="1:20" x14ac:dyDescent="0.25">
      <c r="A182" s="1">
        <v>21.269745345600001</v>
      </c>
      <c r="B182">
        <v>27.2323936224</v>
      </c>
      <c r="C182">
        <v>32.972555023200002</v>
      </c>
      <c r="D182">
        <v>38.134250546400004</v>
      </c>
      <c r="E182">
        <v>42.361501190399999</v>
      </c>
      <c r="F182">
        <v>46.099280707200009</v>
      </c>
      <c r="H182" cm="1">
        <f t="array" ref="H182">INDEX($A$1:$A$201, ROWS($A$1:$A$201) - ROW(A182)+1)</f>
        <v>-16.820007825599998</v>
      </c>
      <c r="I182" cm="1">
        <f t="array" ref="I182">INDEX(B$1:B$201, ROWS(B$1:B$201) - ROW(B182)+1)</f>
        <v>-21.403237471200001</v>
      </c>
      <c r="J182" cm="1">
        <f t="array" ref="J182">INDEX(C$1:C$201, ROWS(C$1:C$201) - ROW(C182)+1)</f>
        <v>-25.941969741600001</v>
      </c>
      <c r="K182" cm="1">
        <f t="array" ref="K182">INDEX(D$1:D$201, ROWS(D$1:D$201) - ROW(D182)+1)</f>
        <v>-29.813241384000001</v>
      </c>
      <c r="L182" cm="1">
        <f t="array" ref="L182">INDEX(E$1:E$201, ROWS(E$1:E$201) - ROW(E182)+1)</f>
        <v>-33.595518276</v>
      </c>
      <c r="M182" cm="1">
        <f t="array" ref="M182">INDEX(F$1:F$201, ROWS(F$1:F$201) - ROW(F182)+1)</f>
        <v>-35.909381786400004</v>
      </c>
      <c r="N182" s="1"/>
      <c r="O182" s="1">
        <v>21.269745345600001</v>
      </c>
      <c r="P182">
        <v>27.2323936224</v>
      </c>
      <c r="Q182">
        <v>32.972555023200002</v>
      </c>
      <c r="R182">
        <v>38.134250546400004</v>
      </c>
      <c r="S182">
        <v>42.361501190399999</v>
      </c>
      <c r="T182">
        <v>46.099280707200009</v>
      </c>
    </row>
    <row r="183" spans="1:20" x14ac:dyDescent="0.25">
      <c r="A183" s="1">
        <v>21.714719097600007</v>
      </c>
      <c r="B183">
        <v>27.899854250400001</v>
      </c>
      <c r="C183">
        <v>33.551020900799998</v>
      </c>
      <c r="D183">
        <v>38.801711174400005</v>
      </c>
      <c r="E183">
        <v>43.251448694400004</v>
      </c>
      <c r="F183">
        <v>47.300709837600003</v>
      </c>
      <c r="H183" cm="1">
        <f t="array" ref="H183">INDEX($A$1:$A$201, ROWS($A$1:$A$201) - ROW(A183)+1)</f>
        <v>-17.220484202400002</v>
      </c>
      <c r="I183" cm="1">
        <f t="array" ref="I183">INDEX(B$1:B$201, ROWS(B$1:B$201) - ROW(B183)+1)</f>
        <v>-21.8482112232</v>
      </c>
      <c r="J183" cm="1">
        <f t="array" ref="J183">INDEX(C$1:C$201, ROWS(C$1:C$201) - ROW(C183)+1)</f>
        <v>-26.386943493599997</v>
      </c>
      <c r="K183" cm="1">
        <f t="array" ref="K183">INDEX(D$1:D$201, ROWS(D$1:D$201) - ROW(D183)+1)</f>
        <v>-30.480702012000002</v>
      </c>
      <c r="L183" cm="1">
        <f t="array" ref="L183">INDEX(E$1:E$201, ROWS(E$1:E$201) - ROW(E183)+1)</f>
        <v>-34.752450031199999</v>
      </c>
      <c r="M183" cm="1">
        <f t="array" ref="M183">INDEX(F$1:F$201, ROWS(F$1:F$201) - ROW(F183)+1)</f>
        <v>-36.39885291360001</v>
      </c>
      <c r="N183" s="1"/>
      <c r="O183" s="1">
        <v>21.714719097600007</v>
      </c>
      <c r="P183">
        <v>27.899854250400001</v>
      </c>
      <c r="Q183">
        <v>33.551020900799998</v>
      </c>
      <c r="R183">
        <v>38.801711174400005</v>
      </c>
      <c r="S183">
        <v>43.251448694400004</v>
      </c>
      <c r="T183">
        <v>47.300709837600003</v>
      </c>
    </row>
    <row r="184" spans="1:20" x14ac:dyDescent="0.25">
      <c r="A184" s="1">
        <v>22.293184975200006</v>
      </c>
      <c r="B184">
        <v>28.166838501600001</v>
      </c>
      <c r="C184">
        <v>34.262978904000001</v>
      </c>
      <c r="D184">
        <v>39.825150804000003</v>
      </c>
      <c r="E184">
        <v>44.4973752</v>
      </c>
      <c r="F184">
        <v>48.368646842400004</v>
      </c>
      <c r="H184" cm="1">
        <f t="array" ref="H184">INDEX($A$1:$A$201, ROWS($A$1:$A$201) - ROW(A184)+1)</f>
        <v>-17.576463204</v>
      </c>
      <c r="I184" cm="1">
        <f t="array" ref="I184">INDEX(B$1:B$201, ROWS(B$1:B$201) - ROW(B184)+1)</f>
        <v>-22.1151954744</v>
      </c>
      <c r="J184" cm="1">
        <f t="array" ref="J184">INDEX(C$1:C$201, ROWS(C$1:C$201) - ROW(C184)+1)</f>
        <v>-27.098901496800003</v>
      </c>
      <c r="K184" cm="1">
        <f t="array" ref="K184">INDEX(D$1:D$201, ROWS(D$1:D$201) - ROW(D184)+1)</f>
        <v>-31.415146891199999</v>
      </c>
      <c r="L184" cm="1">
        <f t="array" ref="L184">INDEX(E$1:E$201, ROWS(E$1:E$201) - ROW(E184)+1)</f>
        <v>-34.885942156799999</v>
      </c>
      <c r="M184" cm="1">
        <f t="array" ref="M184">INDEX(F$1:F$201, ROWS(F$1:F$201) - ROW(F184)+1)</f>
        <v>-37.377795168000006</v>
      </c>
      <c r="N184" s="1"/>
      <c r="O184" s="1">
        <v>22.293184975200006</v>
      </c>
      <c r="P184">
        <v>28.166838501600001</v>
      </c>
      <c r="Q184">
        <v>34.262978904000001</v>
      </c>
      <c r="R184">
        <v>39.825150804000003</v>
      </c>
      <c r="S184">
        <v>44.4973752</v>
      </c>
      <c r="T184">
        <v>48.368646842400004</v>
      </c>
    </row>
    <row r="185" spans="1:20" x14ac:dyDescent="0.25">
      <c r="A185" s="1">
        <v>22.604666601600002</v>
      </c>
      <c r="B185">
        <v>28.745304379200004</v>
      </c>
      <c r="C185">
        <v>34.974936907200004</v>
      </c>
      <c r="D185">
        <v>40.670600932800006</v>
      </c>
      <c r="E185">
        <v>45.787799080799999</v>
      </c>
      <c r="F185">
        <v>49.258594346400002</v>
      </c>
      <c r="H185" cm="1">
        <f t="array" ref="H185">INDEX($A$1:$A$201, ROWS($A$1:$A$201) - ROW(A185)+1)</f>
        <v>-17.754452704800002</v>
      </c>
      <c r="I185" cm="1">
        <f t="array" ref="I185">INDEX(B$1:B$201, ROWS(B$1:B$201) - ROW(B185)+1)</f>
        <v>-22.604666601600002</v>
      </c>
      <c r="J185" cm="1">
        <f t="array" ref="J185">INDEX(C$1:C$201, ROWS(C$1:C$201) - ROW(C185)+1)</f>
        <v>-27.276890997599999</v>
      </c>
      <c r="K185" cm="1">
        <f t="array" ref="K185">INDEX(D$1:D$201, ROWS(D$1:D$201) - ROW(D185)+1)</f>
        <v>-31.904618018400001</v>
      </c>
      <c r="L185" cm="1">
        <f t="array" ref="L185">INDEX(E$1:E$201, ROWS(E$1:E$201) - ROW(E185)+1)</f>
        <v>-36.131868662399995</v>
      </c>
      <c r="M185" cm="1">
        <f t="array" ref="M185">INDEX(F$1:F$201, ROWS(F$1:F$201) - ROW(F185)+1)</f>
        <v>-38.134250546400004</v>
      </c>
      <c r="N185" s="1"/>
      <c r="O185" s="1">
        <v>22.604666601600002</v>
      </c>
      <c r="P185">
        <v>28.745304379200004</v>
      </c>
      <c r="Q185">
        <v>34.974936907200004</v>
      </c>
      <c r="R185">
        <v>40.670600932800006</v>
      </c>
      <c r="S185">
        <v>45.787799080799999</v>
      </c>
      <c r="T185">
        <v>49.258594346400002</v>
      </c>
    </row>
    <row r="186" spans="1:20" x14ac:dyDescent="0.25">
      <c r="A186" s="1">
        <v>23.183132479200005</v>
      </c>
      <c r="B186">
        <v>29.501759757600002</v>
      </c>
      <c r="C186">
        <v>35.553402784799999</v>
      </c>
      <c r="D186">
        <v>41.738537937600007</v>
      </c>
      <c r="E186">
        <v>46.054783332000007</v>
      </c>
      <c r="F186">
        <v>50.460023476800011</v>
      </c>
      <c r="H186" cm="1">
        <f t="array" ref="H186">INDEX($A$1:$A$201, ROWS($A$1:$A$201) - ROW(A186)+1)</f>
        <v>-18.021436956000002</v>
      </c>
      <c r="I186" cm="1">
        <f t="array" ref="I186">INDEX(B$1:B$201, ROWS(B$1:B$201) - ROW(B186)+1)</f>
        <v>-22.9606456032</v>
      </c>
      <c r="J186" cm="1">
        <f t="array" ref="J186">INDEX(C$1:C$201, ROWS(C$1:C$201) - ROW(C186)+1)</f>
        <v>-27.9443516256</v>
      </c>
      <c r="K186" cm="1">
        <f t="array" ref="K186">INDEX(D$1:D$201, ROWS(D$1:D$201) - ROW(D186)+1)</f>
        <v>-32.483083896000004</v>
      </c>
      <c r="L186" cm="1">
        <f t="array" ref="L186">INDEX(E$1:E$201, ROWS(E$1:E$201) - ROW(E186)+1)</f>
        <v>-36.443350288799998</v>
      </c>
      <c r="M186" cm="1">
        <f t="array" ref="M186">INDEX(F$1:F$201, ROWS(F$1:F$201) - ROW(F186)+1)</f>
        <v>-38.801711174400005</v>
      </c>
      <c r="N186" s="1"/>
      <c r="O186" s="1">
        <v>23.183132479200005</v>
      </c>
      <c r="P186">
        <v>29.501759757600002</v>
      </c>
      <c r="Q186">
        <v>35.553402784799999</v>
      </c>
      <c r="R186">
        <v>41.738537937600007</v>
      </c>
      <c r="S186">
        <v>46.054783332000007</v>
      </c>
      <c r="T186">
        <v>50.460023476800011</v>
      </c>
    </row>
    <row r="187" spans="1:20" x14ac:dyDescent="0.25">
      <c r="A187" s="1">
        <v>23.6281062312</v>
      </c>
      <c r="B187">
        <v>29.8577387592</v>
      </c>
      <c r="C187">
        <v>36.176366037600005</v>
      </c>
      <c r="D187">
        <v>42.228009064800005</v>
      </c>
      <c r="E187">
        <v>47.701186214400003</v>
      </c>
      <c r="F187">
        <v>51.038489354400006</v>
      </c>
      <c r="H187" cm="1">
        <f t="array" ref="H187">INDEX($A$1:$A$201, ROWS($A$1:$A$201) - ROW(A187)+1)</f>
        <v>-18.555405458399999</v>
      </c>
      <c r="I187" cm="1">
        <f t="array" ref="I187">INDEX(B$1:B$201, ROWS(B$1:B$201) - ROW(B187)+1)</f>
        <v>-23.405619355200002</v>
      </c>
      <c r="J187" cm="1">
        <f t="array" ref="J187">INDEX(C$1:C$201, ROWS(C$1:C$201) - ROW(C187)+1)</f>
        <v>-28.300330627199997</v>
      </c>
      <c r="K187" cm="1">
        <f t="array" ref="K187">INDEX(D$1:D$201, ROWS(D$1:D$201) - ROW(D187)+1)</f>
        <v>-33.328534024800007</v>
      </c>
      <c r="L187" cm="1">
        <f t="array" ref="L187">INDEX(E$1:E$201, ROWS(E$1:E$201) - ROW(E187)+1)</f>
        <v>-37.377795168000006</v>
      </c>
      <c r="M187" cm="1">
        <f t="array" ref="M187">INDEX(F$1:F$201, ROWS(F$1:F$201) - ROW(F187)+1)</f>
        <v>-39.42467442720001</v>
      </c>
      <c r="N187" s="1"/>
      <c r="O187" s="1">
        <v>23.6281062312</v>
      </c>
      <c r="P187">
        <v>29.8577387592</v>
      </c>
      <c r="Q187">
        <v>36.176366037600005</v>
      </c>
      <c r="R187">
        <v>42.228009064800005</v>
      </c>
      <c r="S187">
        <v>47.701186214400003</v>
      </c>
      <c r="T187">
        <v>51.038489354400006</v>
      </c>
    </row>
    <row r="188" spans="1:20" x14ac:dyDescent="0.25">
      <c r="A188" s="1">
        <v>24.073079983200003</v>
      </c>
      <c r="B188">
        <v>30.258215136</v>
      </c>
      <c r="C188">
        <v>36.977318791200005</v>
      </c>
      <c r="D188">
        <v>42.984464443200004</v>
      </c>
      <c r="E188">
        <v>48.235154716800004</v>
      </c>
      <c r="F188">
        <v>52.907379112800008</v>
      </c>
      <c r="H188" cm="1">
        <f t="array" ref="H188">INDEX($A$1:$A$201, ROWS($A$1:$A$201) - ROW(A188)+1)</f>
        <v>-18.911384460000001</v>
      </c>
      <c r="I188" cm="1">
        <f t="array" ref="I188">INDEX(B$1:B$201, ROWS(B$1:B$201) - ROW(B188)+1)</f>
        <v>-23.850593107200002</v>
      </c>
      <c r="J188" cm="1">
        <f t="array" ref="J188">INDEX(C$1:C$201, ROWS(C$1:C$201) - ROW(C188)+1)</f>
        <v>-28.834299129600002</v>
      </c>
      <c r="K188" cm="1">
        <f t="array" ref="K188">INDEX(D$1:D$201, ROWS(D$1:D$201) - ROW(D188)+1)</f>
        <v>-33.8625025272</v>
      </c>
      <c r="L188" cm="1">
        <f t="array" ref="L188">INDEX(E$1:E$201, ROWS(E$1:E$201) - ROW(E188)+1)</f>
        <v>-37.867266295199997</v>
      </c>
      <c r="M188" cm="1">
        <f t="array" ref="M188">INDEX(F$1:F$201, ROWS(F$1:F$201) - ROW(F188)+1)</f>
        <v>-40.403616681599999</v>
      </c>
      <c r="N188" s="1"/>
      <c r="O188" s="1">
        <v>24.073079983200003</v>
      </c>
      <c r="P188">
        <v>30.258215136</v>
      </c>
      <c r="Q188">
        <v>36.977318791200005</v>
      </c>
      <c r="R188">
        <v>42.984464443200004</v>
      </c>
      <c r="S188">
        <v>48.235154716800004</v>
      </c>
      <c r="T188">
        <v>52.907379112800008</v>
      </c>
    </row>
    <row r="189" spans="1:20" x14ac:dyDescent="0.25">
      <c r="A189" s="1">
        <v>24.340064234400007</v>
      </c>
      <c r="B189">
        <v>30.9701731392</v>
      </c>
      <c r="C189">
        <v>37.644779419200006</v>
      </c>
      <c r="D189">
        <v>44.230390948800007</v>
      </c>
      <c r="E189">
        <v>49.2140969712</v>
      </c>
      <c r="F189">
        <v>54.153305618400012</v>
      </c>
      <c r="H189" cm="1">
        <f t="array" ref="H189">INDEX($A$1:$A$201, ROWS($A$1:$A$201) - ROW(A189)+1)</f>
        <v>-19.178368711199997</v>
      </c>
      <c r="I189" cm="1">
        <f t="array" ref="I189">INDEX(B$1:B$201, ROWS(B$1:B$201) - ROW(B189)+1)</f>
        <v>-23.939587857599999</v>
      </c>
      <c r="J189" cm="1">
        <f t="array" ref="J189">INDEX(C$1:C$201, ROWS(C$1:C$201) - ROW(C189)+1)</f>
        <v>-29.457262382400003</v>
      </c>
      <c r="K189" cm="1">
        <f t="array" ref="K189">INDEX(D$1:D$201, ROWS(D$1:D$201) - ROW(D189)+1)</f>
        <v>-34.529963155200001</v>
      </c>
      <c r="L189" cm="1">
        <f t="array" ref="L189">INDEX(E$1:E$201, ROWS(E$1:E$201) - ROW(E189)+1)</f>
        <v>-38.401234797599997</v>
      </c>
      <c r="M189" cm="1">
        <f t="array" ref="M189">INDEX(F$1:F$201, ROWS(F$1:F$201) - ROW(F189)+1)</f>
        <v>-40.804093058400007</v>
      </c>
      <c r="N189" s="1"/>
      <c r="O189" s="1">
        <v>24.340064234400007</v>
      </c>
      <c r="P189">
        <v>30.9701731392</v>
      </c>
      <c r="Q189">
        <v>37.644779419200006</v>
      </c>
      <c r="R189">
        <v>44.230390948800007</v>
      </c>
      <c r="S189">
        <v>49.2140969712</v>
      </c>
      <c r="T189">
        <v>54.153305618400012</v>
      </c>
    </row>
    <row r="190" spans="1:20" x14ac:dyDescent="0.25">
      <c r="A190" s="1">
        <v>25.052022237600006</v>
      </c>
      <c r="B190">
        <v>31.637633767200001</v>
      </c>
      <c r="C190">
        <v>38.490229548000002</v>
      </c>
      <c r="D190">
        <v>44.408380449600003</v>
      </c>
      <c r="E190">
        <v>50.237536600799999</v>
      </c>
      <c r="F190">
        <v>55.132247872800001</v>
      </c>
      <c r="H190" cm="1">
        <f t="array" ref="H190">INDEX($A$1:$A$201, ROWS($A$1:$A$201) - ROW(A190)+1)</f>
        <v>-19.4898503376</v>
      </c>
      <c r="I190" cm="1">
        <f t="array" ref="I190">INDEX(B$1:B$201, ROWS(B$1:B$201) - ROW(B190)+1)</f>
        <v>-24.47355636</v>
      </c>
      <c r="J190" cm="1">
        <f t="array" ref="J190">INDEX(C$1:C$201, ROWS(C$1:C$201) - ROW(C190)+1)</f>
        <v>-29.991230884799997</v>
      </c>
      <c r="K190" cm="1">
        <f t="array" ref="K190">INDEX(D$1:D$201, ROWS(D$1:D$201) - ROW(D190)+1)</f>
        <v>-35.197423783200001</v>
      </c>
      <c r="L190" cm="1">
        <f t="array" ref="L190">INDEX(E$1:E$201, ROWS(E$1:E$201) - ROW(E190)+1)</f>
        <v>-39.157690175999996</v>
      </c>
      <c r="M190" cm="1">
        <f t="array" ref="M190">INDEX(F$1:F$201, ROWS(F$1:F$201) - ROW(F190)+1)</f>
        <v>-41.471553686400007</v>
      </c>
      <c r="N190" s="1"/>
      <c r="O190" s="1">
        <v>25.052022237600006</v>
      </c>
      <c r="P190">
        <v>31.637633767200001</v>
      </c>
      <c r="Q190">
        <v>38.490229548000002</v>
      </c>
      <c r="R190">
        <v>44.408380449600003</v>
      </c>
      <c r="S190">
        <v>50.237536600799999</v>
      </c>
      <c r="T190">
        <v>55.132247872800001</v>
      </c>
    </row>
    <row r="191" spans="1:20" x14ac:dyDescent="0.25">
      <c r="A191" s="1">
        <v>25.319006488800007</v>
      </c>
      <c r="B191">
        <v>31.993612768799998</v>
      </c>
      <c r="C191">
        <v>39.068695425600005</v>
      </c>
      <c r="D191">
        <v>45.609809580000004</v>
      </c>
      <c r="E191">
        <v>51.082986729600002</v>
      </c>
      <c r="F191">
        <v>56.022195376800013</v>
      </c>
      <c r="H191" cm="1">
        <f t="array" ref="H191">INDEX($A$1:$A$201, ROWS($A$1:$A$201) - ROW(A191)+1)</f>
        <v>-20.023818840000004</v>
      </c>
      <c r="I191" cm="1">
        <f t="array" ref="I191">INDEX(B$1:B$201, ROWS(B$1:B$201) - ROW(B191)+1)</f>
        <v>-25.141016988000004</v>
      </c>
      <c r="J191" cm="1">
        <f t="array" ref="J191">INDEX(C$1:C$201, ROWS(C$1:C$201) - ROW(C191)+1)</f>
        <v>-30.391707261600001</v>
      </c>
      <c r="K191" cm="1">
        <f t="array" ref="K191">INDEX(D$1:D$201, ROWS(D$1:D$201) - ROW(D191)+1)</f>
        <v>-35.864884411200002</v>
      </c>
      <c r="L191" cm="1">
        <f t="array" ref="L191">INDEX(E$1:E$201, ROWS(E$1:E$201) - ROW(E191)+1)</f>
        <v>-39.602663928000005</v>
      </c>
      <c r="M191" cm="1">
        <f t="array" ref="M191">INDEX(F$1:F$201, ROWS(F$1:F$201) - ROW(F191)+1)</f>
        <v>-42.672982816800008</v>
      </c>
      <c r="N191" s="1"/>
      <c r="O191" s="1">
        <v>25.319006488800007</v>
      </c>
      <c r="P191">
        <v>31.993612768799998</v>
      </c>
      <c r="Q191">
        <v>39.068695425600005</v>
      </c>
      <c r="R191">
        <v>45.609809580000004</v>
      </c>
      <c r="S191">
        <v>51.082986729600002</v>
      </c>
      <c r="T191">
        <v>56.022195376800013</v>
      </c>
    </row>
    <row r="192" spans="1:20" x14ac:dyDescent="0.25">
      <c r="A192" s="1">
        <v>25.674985490400001</v>
      </c>
      <c r="B192">
        <v>32.527581271199999</v>
      </c>
      <c r="C192">
        <v>39.513669177600008</v>
      </c>
      <c r="D192">
        <v>46.188275457600007</v>
      </c>
      <c r="E192">
        <v>51.928436858399998</v>
      </c>
      <c r="F192">
        <v>57.045635006400005</v>
      </c>
      <c r="H192" cm="1">
        <f t="array" ref="H192">INDEX($A$1:$A$201, ROWS($A$1:$A$201) - ROW(A192)+1)</f>
        <v>-20.157310965600001</v>
      </c>
      <c r="I192" cm="1">
        <f t="array" ref="I192">INDEX(B$1:B$201, ROWS(B$1:B$201) - ROW(B192)+1)</f>
        <v>-25.4524986144</v>
      </c>
      <c r="J192" cm="1">
        <f t="array" ref="J192">INDEX(C$1:C$201, ROWS(C$1:C$201) - ROW(C192)+1)</f>
        <v>-30.792183638399997</v>
      </c>
      <c r="K192" cm="1">
        <f t="array" ref="K192">INDEX(D$1:D$201, ROWS(D$1:D$201) - ROW(D192)+1)</f>
        <v>-36.443350288799998</v>
      </c>
      <c r="L192" cm="1">
        <f t="array" ref="L192">INDEX(E$1:E$201, ROWS(E$1:E$201) - ROW(E192)+1)</f>
        <v>-40.270124555999999</v>
      </c>
      <c r="M192" cm="1">
        <f t="array" ref="M192">INDEX(F$1:F$201, ROWS(F$1:F$201) - ROW(F192)+1)</f>
        <v>-43.206951319200002</v>
      </c>
      <c r="N192" s="1"/>
      <c r="O192" s="1">
        <v>25.674985490400001</v>
      </c>
      <c r="P192">
        <v>32.527581271199999</v>
      </c>
      <c r="Q192">
        <v>39.513669177600008</v>
      </c>
      <c r="R192">
        <v>46.188275457600007</v>
      </c>
      <c r="S192">
        <v>51.928436858399998</v>
      </c>
      <c r="T192">
        <v>57.045635006400005</v>
      </c>
    </row>
    <row r="193" spans="1:20" x14ac:dyDescent="0.25">
      <c r="A193" s="1">
        <v>25.986467116800007</v>
      </c>
      <c r="B193">
        <v>33.150544524000004</v>
      </c>
      <c r="C193">
        <v>40.314621931200001</v>
      </c>
      <c r="D193">
        <v>46.944730836000005</v>
      </c>
      <c r="E193">
        <v>52.818384362400003</v>
      </c>
      <c r="F193">
        <v>58.158069386400008</v>
      </c>
      <c r="H193" cm="1">
        <f t="array" ref="H193">INDEX($A$1:$A$201, ROWS($A$1:$A$201) - ROW(A193)+1)</f>
        <v>-20.691279468000005</v>
      </c>
      <c r="I193" cm="1">
        <f t="array" ref="I193">INDEX(B$1:B$201, ROWS(B$1:B$201) - ROW(B193)+1)</f>
        <v>-25.496995989600002</v>
      </c>
      <c r="J193" cm="1">
        <f t="array" ref="J193">INDEX(C$1:C$201, ROWS(C$1:C$201) - ROW(C193)+1)</f>
        <v>-31.281654765599999</v>
      </c>
      <c r="K193" cm="1">
        <f t="array" ref="K193">INDEX(D$1:D$201, ROWS(D$1:D$201) - ROW(D193)+1)</f>
        <v>-36.799329290400003</v>
      </c>
      <c r="L193" cm="1">
        <f t="array" ref="L193">INDEX(E$1:E$201, ROWS(E$1:E$201) - ROW(E193)+1)</f>
        <v>-41.026579934400004</v>
      </c>
      <c r="M193" cm="1">
        <f t="array" ref="M193">INDEX(F$1:F$201, ROWS(F$1:F$201) - ROW(F193)+1)</f>
        <v>-43.785417196799997</v>
      </c>
      <c r="N193" s="1"/>
      <c r="O193" s="1">
        <v>25.986467116800007</v>
      </c>
      <c r="P193">
        <v>33.150544524000004</v>
      </c>
      <c r="Q193">
        <v>40.314621931200001</v>
      </c>
      <c r="R193">
        <v>46.944730836000005</v>
      </c>
      <c r="S193">
        <v>52.818384362400003</v>
      </c>
      <c r="T193">
        <v>58.158069386400008</v>
      </c>
    </row>
    <row r="194" spans="1:20" x14ac:dyDescent="0.25">
      <c r="A194" s="1">
        <v>26.342446118400002</v>
      </c>
      <c r="B194">
        <v>33.373031400000002</v>
      </c>
      <c r="C194">
        <v>40.759595683200004</v>
      </c>
      <c r="D194">
        <v>47.434201963199996</v>
      </c>
      <c r="E194">
        <v>53.9308187424</v>
      </c>
      <c r="F194">
        <v>59.448493267200014</v>
      </c>
      <c r="H194" cm="1">
        <f t="array" ref="H194">INDEX($A$1:$A$201, ROWS($A$1:$A$201) - ROW(A194)+1)</f>
        <v>-20.913766343999999</v>
      </c>
      <c r="I194" cm="1">
        <f t="array" ref="I194">INDEX(B$1:B$201, ROWS(B$1:B$201) - ROW(B194)+1)</f>
        <v>-26.208953992800001</v>
      </c>
      <c r="J194" cm="1">
        <f t="array" ref="J194">INDEX(C$1:C$201, ROWS(C$1:C$201) - ROW(C194)+1)</f>
        <v>-31.860120643200002</v>
      </c>
      <c r="K194" cm="1">
        <f t="array" ref="K194">INDEX(D$1:D$201, ROWS(D$1:D$201) - ROW(D194)+1)</f>
        <v>-37.288800417600008</v>
      </c>
      <c r="L194" cm="1">
        <f t="array" ref="L194">INDEX(E$1:E$201, ROWS(E$1:E$201) - ROW(E194)+1)</f>
        <v>-40.893087808800004</v>
      </c>
      <c r="M194" cm="1">
        <f t="array" ref="M194">INDEX(F$1:F$201, ROWS(F$1:F$201) - ROW(F194)+1)</f>
        <v>-44.897851576800001</v>
      </c>
      <c r="N194" s="1"/>
      <c r="O194" s="1">
        <v>26.342446118400002</v>
      </c>
      <c r="P194">
        <v>33.373031400000002</v>
      </c>
      <c r="Q194">
        <v>40.759595683200004</v>
      </c>
      <c r="R194">
        <v>47.434201963199996</v>
      </c>
      <c r="S194">
        <v>53.9308187424</v>
      </c>
      <c r="T194">
        <v>59.448493267200014</v>
      </c>
    </row>
    <row r="195" spans="1:20" x14ac:dyDescent="0.25">
      <c r="A195" s="1">
        <v>26.831917245600003</v>
      </c>
      <c r="B195">
        <v>33.818005151999998</v>
      </c>
      <c r="C195">
        <v>41.338061560800007</v>
      </c>
      <c r="D195">
        <v>48.368646842400004</v>
      </c>
      <c r="E195">
        <v>54.909760996800003</v>
      </c>
      <c r="F195">
        <v>60.115953895200015</v>
      </c>
      <c r="H195" cm="1">
        <f t="array" ref="H195">INDEX($A$1:$A$201, ROWS($A$1:$A$201) - ROW(A195)+1)</f>
        <v>-21.225247970399998</v>
      </c>
      <c r="I195" cm="1">
        <f t="array" ref="I195">INDEX(B$1:B$201, ROWS(B$1:B$201) - ROW(B195)+1)</f>
        <v>-26.69842512</v>
      </c>
      <c r="J195" cm="1">
        <f t="array" ref="J195">INDEX(C$1:C$201, ROWS(C$1:C$201) - ROW(C195)+1)</f>
        <v>-32.305094395200001</v>
      </c>
      <c r="K195" cm="1">
        <f t="array" ref="K195">INDEX(D$1:D$201, ROWS(D$1:D$201) - ROW(D195)+1)</f>
        <v>-37.511287293599999</v>
      </c>
      <c r="L195" cm="1">
        <f t="array" ref="L195">INDEX(E$1:E$201, ROWS(E$1:E$201) - ROW(E195)+1)</f>
        <v>-42.628485441599999</v>
      </c>
      <c r="M195" cm="1">
        <f t="array" ref="M195">INDEX(F$1:F$201, ROWS(F$1:F$201) - ROW(F195)+1)</f>
        <v>-45.910800000000002</v>
      </c>
      <c r="N195" s="1"/>
      <c r="O195" s="1">
        <v>26.831917245600003</v>
      </c>
      <c r="P195">
        <v>33.818005151999998</v>
      </c>
      <c r="Q195">
        <v>41.338061560800007</v>
      </c>
      <c r="R195">
        <v>48.368646842400004</v>
      </c>
      <c r="S195">
        <v>54.909760996800003</v>
      </c>
      <c r="T195">
        <v>60.115953895200015</v>
      </c>
    </row>
    <row r="196" spans="1:20" x14ac:dyDescent="0.25">
      <c r="A196" s="1">
        <v>27.187896247200001</v>
      </c>
      <c r="B196">
        <v>34.351973654399998</v>
      </c>
      <c r="C196">
        <v>42.228009064800005</v>
      </c>
      <c r="D196">
        <v>49.169599596000005</v>
      </c>
      <c r="E196">
        <v>55.577221624800003</v>
      </c>
      <c r="F196">
        <v>61.361880400800004</v>
      </c>
      <c r="H196" cm="1">
        <f t="array" ref="H196">INDEX($A$1:$A$201, ROWS($A$1:$A$201) - ROW(A196)+1)</f>
        <v>-21.403237471200001</v>
      </c>
      <c r="I196" cm="1">
        <f t="array" ref="I196">INDEX(B$1:B$201, ROWS(B$1:B$201) - ROW(B196)+1)</f>
        <v>-27.098901496800003</v>
      </c>
      <c r="J196" cm="1">
        <f t="array" ref="J196">INDEX(C$1:C$201, ROWS(C$1:C$201) - ROW(C196)+1)</f>
        <v>-32.928057647999999</v>
      </c>
      <c r="K196" cm="1">
        <f t="array" ref="K196">INDEX(D$1:D$201, ROWS(D$1:D$201) - ROW(D196)+1)</f>
        <v>-37.956261045599994</v>
      </c>
      <c r="L196" cm="1">
        <f t="array" ref="L196">INDEX(E$1:E$201, ROWS(E$1:E$201) - ROW(E196)+1)</f>
        <v>-42.672982816800008</v>
      </c>
      <c r="M196" cm="1">
        <f t="array" ref="M196">INDEX(F$1:F$201, ROWS(F$1:F$201) - ROW(F196)+1)</f>
        <v>-46.544254459200005</v>
      </c>
      <c r="N196" s="1"/>
      <c r="O196" s="1">
        <v>27.187896247200001</v>
      </c>
      <c r="P196">
        <v>34.351973654399998</v>
      </c>
      <c r="Q196">
        <v>42.228009064800005</v>
      </c>
      <c r="R196">
        <v>49.169599596000005</v>
      </c>
      <c r="S196">
        <v>55.577221624800003</v>
      </c>
      <c r="T196">
        <v>61.361880400800004</v>
      </c>
    </row>
    <row r="197" spans="1:20" x14ac:dyDescent="0.25">
      <c r="A197" s="1">
        <v>27.677367374400006</v>
      </c>
      <c r="B197">
        <v>35.019434282400006</v>
      </c>
      <c r="C197">
        <v>42.984464443200004</v>
      </c>
      <c r="D197">
        <v>49.792562848800003</v>
      </c>
      <c r="E197">
        <v>56.600661254400002</v>
      </c>
      <c r="F197">
        <v>62.429817405600005</v>
      </c>
      <c r="H197" cm="1">
        <f t="array" ref="H197">INDEX($A$1:$A$201, ROWS($A$1:$A$201) - ROW(A197)+1)</f>
        <v>-21.803713848000001</v>
      </c>
      <c r="I197" cm="1">
        <f t="array" ref="I197">INDEX(B$1:B$201, ROWS(B$1:B$201) - ROW(B197)+1)</f>
        <v>-27.321388372799998</v>
      </c>
      <c r="J197" cm="1">
        <f t="array" ref="J197">INDEX(C$1:C$201, ROWS(C$1:C$201) - ROW(C197)+1)</f>
        <v>-33.373031400000002</v>
      </c>
      <c r="K197" cm="1">
        <f t="array" ref="K197">INDEX(D$1:D$201, ROWS(D$1:D$201) - ROW(D197)+1)</f>
        <v>-38.267742671999997</v>
      </c>
      <c r="L197" cm="1">
        <f t="array" ref="L197">INDEX(E$1:E$201, ROWS(E$1:E$201) - ROW(E197)+1)</f>
        <v>-43.340443444800009</v>
      </c>
      <c r="M197" cm="1">
        <f t="array" ref="M197">INDEX(F$1:F$201, ROWS(F$1:F$201) - ROW(F197)+1)</f>
        <v>-47.033725586400003</v>
      </c>
      <c r="N197" s="1"/>
      <c r="O197" s="1">
        <v>27.677367374400006</v>
      </c>
      <c r="P197">
        <v>35.019434282400006</v>
      </c>
      <c r="Q197">
        <v>42.984464443200004</v>
      </c>
      <c r="R197">
        <v>49.792562848800003</v>
      </c>
      <c r="S197">
        <v>56.600661254400002</v>
      </c>
      <c r="T197">
        <v>62.429817405600005</v>
      </c>
    </row>
    <row r="198" spans="1:20" x14ac:dyDescent="0.25">
      <c r="A198" s="1">
        <v>28.211335876800003</v>
      </c>
      <c r="B198">
        <v>35.6868949104</v>
      </c>
      <c r="C198">
        <v>43.384940820000004</v>
      </c>
      <c r="D198">
        <v>50.460023476800004</v>
      </c>
      <c r="E198">
        <v>57.134629756800003</v>
      </c>
      <c r="F198">
        <v>63.364262284799999</v>
      </c>
      <c r="H198" cm="1">
        <f t="array" ref="H198">INDEX($A$1:$A$201, ROWS($A$1:$A$201) - ROW(A198)+1)</f>
        <v>-22.382179725600004</v>
      </c>
      <c r="I198" cm="1">
        <f t="array" ref="I198">INDEX(B$1:B$201, ROWS(B$1:B$201) - ROW(B198)+1)</f>
        <v>-27.766362124800004</v>
      </c>
      <c r="J198" cm="1">
        <f t="array" ref="J198">INDEX(C$1:C$201, ROWS(C$1:C$201) - ROW(C198)+1)</f>
        <v>-33.8625025272</v>
      </c>
      <c r="K198" cm="1">
        <f t="array" ref="K198">INDEX(D$1:D$201, ROWS(D$1:D$201) - ROW(D198)+1)</f>
        <v>-38.890705924800002</v>
      </c>
      <c r="L198" cm="1">
        <f t="array" ref="L198">INDEX(E$1:E$201, ROWS(E$1:E$201) - ROW(E198)+1)</f>
        <v>-43.918909322399998</v>
      </c>
      <c r="M198" cm="1">
        <f t="array" ref="M198">INDEX(F$1:F$201, ROWS(F$1:F$201) - ROW(F198)+1)</f>
        <v>-47.523196713600008</v>
      </c>
      <c r="N198" s="1"/>
      <c r="O198" s="1">
        <v>28.211335876800003</v>
      </c>
      <c r="P198">
        <v>35.6868949104</v>
      </c>
      <c r="Q198">
        <v>43.384940820000004</v>
      </c>
      <c r="R198">
        <v>50.460023476800004</v>
      </c>
      <c r="S198">
        <v>57.134629756800003</v>
      </c>
      <c r="T198">
        <v>63.364262284799999</v>
      </c>
    </row>
    <row r="199" spans="1:20" x14ac:dyDescent="0.25">
      <c r="A199" s="1">
        <v>28.389325377600006</v>
      </c>
      <c r="B199">
        <v>36.3543555384</v>
      </c>
      <c r="C199">
        <v>44.230390948800007</v>
      </c>
      <c r="D199">
        <v>50.771505103200006</v>
      </c>
      <c r="E199">
        <v>57.846587760000006</v>
      </c>
      <c r="F199">
        <v>64.298707164000007</v>
      </c>
      <c r="H199" cm="1">
        <f t="array" ref="H199">INDEX($A$1:$A$201, ROWS($A$1:$A$201) - ROW(A199)+1)</f>
        <v>-22.5156718512</v>
      </c>
      <c r="I199" cm="1">
        <f t="array" ref="I199">INDEX(B$1:B$201, ROWS(B$1:B$201) - ROW(B199)+1)</f>
        <v>-28.389325377599999</v>
      </c>
      <c r="J199" cm="1">
        <f t="array" ref="J199">INDEX(C$1:C$201, ROWS(C$1:C$201) - ROW(C199)+1)</f>
        <v>-34.262978904000001</v>
      </c>
      <c r="K199" cm="1">
        <f t="array" ref="K199">INDEX(D$1:D$201, ROWS(D$1:D$201) - ROW(D199)+1)</f>
        <v>-39.469171802399998</v>
      </c>
      <c r="L199" cm="1">
        <f t="array" ref="L199">INDEX(E$1:E$201, ROWS(E$1:E$201) - ROW(E199)+1)</f>
        <v>-44.452877824800005</v>
      </c>
      <c r="M199" cm="1">
        <f t="array" ref="M199">INDEX(F$1:F$201, ROWS(F$1:F$201) - ROW(F199)+1)</f>
        <v>-48.279652092000006</v>
      </c>
      <c r="N199" s="1"/>
      <c r="O199" s="1">
        <v>28.389325377600006</v>
      </c>
      <c r="P199">
        <v>36.3543555384</v>
      </c>
      <c r="Q199">
        <v>44.230390948800007</v>
      </c>
      <c r="R199">
        <v>50.771505103200006</v>
      </c>
      <c r="S199">
        <v>57.846587760000006</v>
      </c>
      <c r="T199">
        <v>64.298707164000007</v>
      </c>
    </row>
    <row r="200" spans="1:20" x14ac:dyDescent="0.25">
      <c r="A200" s="1">
        <v>28.611812253600004</v>
      </c>
      <c r="B200">
        <v>36.2208634128</v>
      </c>
      <c r="C200">
        <v>44.408380449600003</v>
      </c>
      <c r="D200">
        <v>51.216478855200002</v>
      </c>
      <c r="E200">
        <v>58.692037888800002</v>
      </c>
      <c r="F200">
        <v>64.966167792000007</v>
      </c>
      <c r="H200" cm="1">
        <f t="array" ref="H200">INDEX($A$1:$A$201, ROWS($A$1:$A$201) - ROW(A200)+1)</f>
        <v>-22.604666601600002</v>
      </c>
      <c r="I200" cm="1">
        <f t="array" ref="I200">INDEX(B$1:B$201, ROWS(B$1:B$201) - ROW(B200)+1)</f>
        <v>-28.6118122536</v>
      </c>
      <c r="J200" cm="1">
        <f t="array" ref="J200">INDEX(C$1:C$201, ROWS(C$1:C$201) - ROW(C200)+1)</f>
        <v>-34.307476279199996</v>
      </c>
      <c r="K200" cm="1">
        <f t="array" ref="K200">INDEX(D$1:D$201, ROWS(D$1:D$201) - ROW(D200)+1)</f>
        <v>-39.736156053599998</v>
      </c>
      <c r="L200" cm="1">
        <f t="array" ref="L200">INDEX(E$1:E$201, ROWS(E$1:E$201) - ROW(E200)+1)</f>
        <v>-44.586369950399998</v>
      </c>
      <c r="M200" cm="1">
        <f t="array" ref="M200">INDEX(F$1:F$201, ROWS(F$1:F$201) - ROW(F200)+1)</f>
        <v>-48.635631093600004</v>
      </c>
      <c r="N200" s="1"/>
      <c r="O200" s="1">
        <v>28.611812253600004</v>
      </c>
      <c r="P200">
        <v>36.2208634128</v>
      </c>
      <c r="Q200">
        <v>44.408380449600003</v>
      </c>
      <c r="R200">
        <v>51.216478855200002</v>
      </c>
      <c r="S200">
        <v>58.692037888800002</v>
      </c>
      <c r="T200">
        <v>64.966167792000007</v>
      </c>
    </row>
    <row r="201" spans="1:20" x14ac:dyDescent="0.25">
      <c r="A201" s="1">
        <v>28.700807004000001</v>
      </c>
      <c r="B201">
        <v>36.435934059600008</v>
      </c>
      <c r="C201">
        <v>44.378715532800001</v>
      </c>
      <c r="D201">
        <v>51.453798189600001</v>
      </c>
      <c r="E201">
        <v>59.018351973600005</v>
      </c>
      <c r="F201">
        <v>65.945110046400004</v>
      </c>
      <c r="H201" cm="1">
        <f t="array" ref="H201">INDEX($A$1:$A$201, ROWS($A$1:$A$201) - ROW(A201)+1)</f>
        <v>-22.656580205999994</v>
      </c>
      <c r="I201" cm="1">
        <f t="array" ref="I201">INDEX(B$1:B$201, ROWS(B$1:B$201) - ROW(B201)+1)</f>
        <v>-28.4857363572</v>
      </c>
      <c r="J201" cm="1">
        <f t="array" ref="J201">INDEX(C$1:C$201, ROWS(C$1:C$201) - ROW(C201)+1)</f>
        <v>-34.500298238400006</v>
      </c>
      <c r="K201" cm="1">
        <f t="array" ref="K201">INDEX(D$1:D$201, ROWS(D$1:D$201) - ROW(D201)+1)</f>
        <v>-39.921561783600005</v>
      </c>
      <c r="L201" cm="1">
        <f t="array" ref="L201">INDEX(E$1:E$201, ROWS(E$1:E$201) - ROW(E201)+1)</f>
        <v>-45.031343702400001</v>
      </c>
      <c r="M201" cm="1">
        <f t="array" ref="M201">INDEX(F$1:F$201, ROWS(F$1:F$201) - ROW(F201)+1)</f>
        <v>-49.399502701200007</v>
      </c>
      <c r="N201" s="1"/>
      <c r="O201" s="1">
        <v>28.700807004000001</v>
      </c>
      <c r="P201">
        <v>36.435934059600008</v>
      </c>
      <c r="Q201">
        <v>44.378715532800001</v>
      </c>
      <c r="R201">
        <v>51.453798189600001</v>
      </c>
      <c r="S201">
        <v>59.018351973600005</v>
      </c>
      <c r="T201">
        <v>65.945110046400004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 FIRST</vt:lpstr>
      <vt:lpstr>10 V</vt:lpstr>
      <vt:lpstr>12 V</vt:lpstr>
      <vt:lpstr>14 V</vt:lpstr>
      <vt:lpstr>16 V</vt:lpstr>
      <vt:lpstr>18 V</vt:lpstr>
      <vt:lpstr>20 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Agamemnon</dc:creator>
  <cp:lastModifiedBy>Kory Haydon</cp:lastModifiedBy>
  <dcterms:created xsi:type="dcterms:W3CDTF">2019-09-14T02:28:19Z</dcterms:created>
  <dcterms:modified xsi:type="dcterms:W3CDTF">2026-02-01T03:32:21Z</dcterms:modified>
</cp:coreProperties>
</file>